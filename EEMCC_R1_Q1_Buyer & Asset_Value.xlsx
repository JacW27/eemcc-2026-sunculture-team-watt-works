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xi/Documents/EEMCC Competition/"/>
    </mc:Choice>
  </mc:AlternateContent>
  <xr:revisionPtr revIDLastSave="0" documentId="8_{A9AB5936-03F1-5E46-9F98-A8FE151B9FBF}" xr6:coauthVersionLast="47" xr6:coauthVersionMax="47" xr10:uidLastSave="{00000000-0000-0000-0000-000000000000}"/>
  <bookViews>
    <workbookView xWindow="820" yWindow="660" windowWidth="28100" windowHeight="17440" activeTab="3" xr2:uid="{D005216C-1523-FA40-8F59-852D5359AA82}"/>
  </bookViews>
  <sheets>
    <sheet name="Buyer Selection" sheetId="1" r:id="rId1"/>
    <sheet name="Buyer Evidence" sheetId="3" r:id="rId2"/>
    <sheet name="PayGrow Inputs" sheetId="4" r:id="rId3"/>
    <sheet name="Data Asset Inputs" sheetId="5" r:id="rId4"/>
    <sheet name="5-7 Years Assumption" sheetId="6" r:id="rId5"/>
    <sheet name="Source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4" l="1"/>
  <c r="H3" i="4"/>
  <c r="H4" i="4"/>
  <c r="H5" i="4"/>
  <c r="H6" i="4"/>
  <c r="H7" i="4"/>
  <c r="H8" i="4"/>
  <c r="E3" i="4"/>
  <c r="E4" i="4"/>
  <c r="E5" i="4"/>
  <c r="E6" i="4"/>
  <c r="E7" i="4"/>
  <c r="E8" i="4"/>
  <c r="E2" i="4"/>
  <c r="F30" i="3"/>
  <c r="F31" i="3"/>
  <c r="F32" i="3"/>
  <c r="F33" i="3"/>
  <c r="F34" i="3"/>
  <c r="F29" i="3"/>
  <c r="H11" i="1"/>
  <c r="I12" i="1"/>
  <c r="I13" i="1"/>
  <c r="I14" i="1"/>
  <c r="I11" i="1"/>
  <c r="D22" i="1"/>
  <c r="D23" i="1" s="1"/>
  <c r="C22" i="1"/>
  <c r="C23" i="1" s="1"/>
  <c r="H14" i="1"/>
  <c r="H12" i="1"/>
  <c r="H13" i="1"/>
</calcChain>
</file>

<file path=xl/sharedStrings.xml><?xml version="1.0" encoding="utf-8"?>
<sst xmlns="http://schemas.openxmlformats.org/spreadsheetml/2006/main" count="513" uniqueCount="396">
  <si>
    <t>Buyer/ Investor Archetype</t>
    <phoneticPr fontId="2" type="noConversion"/>
  </si>
  <si>
    <t>Examples</t>
    <phoneticPr fontId="2" type="noConversion"/>
  </si>
  <si>
    <t>Potential Buyer List</t>
    <phoneticPr fontId="2" type="noConversion"/>
  </si>
  <si>
    <t>PAYGo / inclusive-finance strategic buyer</t>
    <phoneticPr fontId="2" type="noConversion"/>
  </si>
  <si>
    <t>Precision-irrigation strategic buyer</t>
    <phoneticPr fontId="2" type="noConversion"/>
  </si>
  <si>
    <t>Regional water-and-energy distributor</t>
    <phoneticPr fontId="2" type="noConversion"/>
  </si>
  <si>
    <t>Africa-focused financial sponsor</t>
    <phoneticPr fontId="2" type="noConversion"/>
  </si>
  <si>
    <t>Regional bank or digital lender</t>
    <phoneticPr fontId="2" type="noConversion"/>
  </si>
  <si>
    <t>M-KOPA</t>
  </si>
  <si>
    <t>M-KOPA</t>
    <phoneticPr fontId="2" type="noConversion"/>
  </si>
  <si>
    <t>Orbia Netafim</t>
  </si>
  <si>
    <t>Orbia Netafim</t>
    <phoneticPr fontId="2" type="noConversion"/>
  </si>
  <si>
    <t>Davis &amp; Shirtliff</t>
  </si>
  <si>
    <t>Davis &amp; Shirtliff</t>
    <phoneticPr fontId="2" type="noConversion"/>
  </si>
  <si>
    <t>East African agricultural / SME lender</t>
    <phoneticPr fontId="2" type="noConversion"/>
  </si>
  <si>
    <t>Strong asset-finance, payment-data, insurance, and customer-credit capabilities in Kenya and Uganda</t>
    <phoneticPr fontId="2" type="noConversion"/>
  </si>
  <si>
    <t>Global irrigation expertise, African smallholder focus, and financing/partnering experience</t>
    <phoneticPr fontId="2" type="noConversion"/>
  </si>
  <si>
    <t>Kenya-based water, solar, pump, irrigation, and field-service network across Africa</t>
    <phoneticPr fontId="2" type="noConversion"/>
  </si>
  <si>
    <t>Can fund a recurring loan, subscription, and carbon-revenue platform</t>
    <phoneticPr fontId="2" type="noConversion"/>
  </si>
  <si>
    <t>Can use farmer repayment and usage data to improve underwriting</t>
    <phoneticPr fontId="2" type="noConversion"/>
  </si>
  <si>
    <t>Why it belongs on the longlist</t>
    <phoneticPr fontId="2" type="noConversion"/>
  </si>
  <si>
    <t>Likely value driver</t>
    <phoneticPr fontId="2" type="noConversion"/>
  </si>
  <si>
    <t>Financing engine + farmer behavioral data</t>
  </si>
  <si>
    <t>Irrigation hardware + distribution/customer reach</t>
    <phoneticPr fontId="2" type="noConversion"/>
  </si>
  <si>
    <t>Hardware + last-mile distribution/service</t>
    <phoneticPr fontId="2" type="noConversion"/>
  </si>
  <si>
    <t>Financing engine + carbon / subscription cash flows</t>
    <phoneticPr fontId="2" type="noConversion"/>
  </si>
  <si>
    <t>Financing engine + behavioral data</t>
    <phoneticPr fontId="2" type="noConversion"/>
  </si>
  <si>
    <t>Key Concerns</t>
    <phoneticPr fontId="2" type="noConversion"/>
  </si>
  <si>
    <t>Limited agriculture and irrigation servicing experience</t>
    <phoneticPr fontId="2" type="noConversion"/>
  </si>
  <si>
    <t>May prefer partnership rather than acquisition; weaker direct credit-data fit</t>
    <phoneticPr fontId="2" type="noConversion"/>
  </si>
  <si>
    <t>Financial capacity and data capabilities need validation</t>
    <phoneticPr fontId="2" type="noConversion"/>
  </si>
  <si>
    <t>Lower operating synergy; may not pay much for data alone</t>
    <phoneticPr fontId="2" type="noConversion"/>
  </si>
  <si>
    <t>Weak hardware, installation, and after-sales capabilities</t>
    <phoneticPr fontId="2" type="noConversion"/>
  </si>
  <si>
    <t>Gate</t>
  </si>
  <si>
    <t>Buyer</t>
  </si>
  <si>
    <t>Geographic Overlap</t>
  </si>
  <si>
    <t>Business Adjacency</t>
  </si>
  <si>
    <t>Funding Capacity</t>
  </si>
  <si>
    <t>Pass</t>
  </si>
  <si>
    <t>Unclear</t>
  </si>
  <si>
    <t>Operating Capability</t>
  </si>
  <si>
    <t>Data Transferability</t>
  </si>
  <si>
    <t>Deal Rationale</t>
  </si>
  <si>
    <t>Gate Score</t>
  </si>
  <si>
    <t>Status</t>
  </si>
  <si>
    <t>Definition of “Pass”</t>
  </si>
  <si>
    <t>Operates in Kenya, Uganda, or another directly relevant East African market.</t>
  </si>
  <si>
    <t>Has at least two relevant capabilities: PAYGo finance, irrigation, agricultural services, IoT, insurance, or last-mile distribution.</t>
  </si>
  <si>
    <t>Has disclosed financing capacity, a strong parent balance sheet, or an established project-finance/investment platform.</t>
  </si>
  <si>
    <t>Has a data-governance framework and credit/data capability compatible with consented customer-data transfer.</t>
  </si>
  <si>
    <t>Can explain why acquisition creates more value than a partnership or distribution agreement.</t>
  </si>
  <si>
    <t>Grading Rubrics</t>
    <phoneticPr fontId="2" type="noConversion"/>
  </si>
  <si>
    <t>https://www.davisandshirtliff.com/downloads/Davis-and-Shirtliff-Environment-Sustainability-and-Governance-Report-2023.pdf</t>
    <phoneticPr fontId="2" type="noConversion"/>
  </si>
  <si>
    <r>
      <t>Climate / infrastructure investor-</t>
    </r>
    <r>
      <rPr>
        <sz val="12"/>
        <color rgb="FFFF0000"/>
        <rFont val="等线"/>
        <family val="3"/>
        <charset val="134"/>
      </rPr>
      <t>Macquarie</t>
    </r>
    <phoneticPr fontId="2" type="noConversion"/>
  </si>
  <si>
    <t>Criterion</t>
    <phoneticPr fontId="2" type="noConversion"/>
  </si>
  <si>
    <t>Weight</t>
    <phoneticPr fontId="2" type="noConversion"/>
  </si>
  <si>
    <t>Value of priority assets</t>
    <phoneticPr fontId="2" type="noConversion"/>
  </si>
  <si>
    <t>Acquisition advantage over partnership</t>
    <phoneticPr fontId="2" type="noConversion"/>
  </si>
  <si>
    <t>Post-acquisition execution feasibility</t>
    <phoneticPr fontId="2" type="noConversion"/>
  </si>
  <si>
    <t>Weighted Score</t>
    <phoneticPr fontId="2" type="noConversion"/>
  </si>
  <si>
    <t>Ranking</t>
    <phoneticPr fontId="2" type="noConversion"/>
  </si>
  <si>
    <t>Provisional preferred buyer, subject to confirmatory diligence</t>
    <phoneticPr fontId="2" type="noConversion"/>
  </si>
  <si>
    <t>Data Item</t>
  </si>
  <si>
    <t>Customers served</t>
  </si>
  <si>
    <t>Strong</t>
  </si>
  <si>
    <t>Credit unlocked</t>
  </si>
  <si>
    <t>Revenue growth</t>
  </si>
  <si>
    <t>2023 financing raised</t>
  </si>
  <si>
    <t>IFC investment</t>
  </si>
  <si>
    <t>Usable Data</t>
    <phoneticPr fontId="2" type="noConversion"/>
  </si>
  <si>
    <t>Functions</t>
    <phoneticPr fontId="2" type="noConversion"/>
  </si>
  <si>
    <t>Judgment</t>
    <phoneticPr fontId="2" type="noConversion"/>
  </si>
  <si>
    <t>Over US$2 billion</t>
  </si>
  <si>
    <t>Demonstrates substantial experience funding asset-backed credit portfolios</t>
  </si>
  <si>
    <t>Over US$250 million</t>
  </si>
  <si>
    <t>Shows access to large-scale institutional capital</t>
  </si>
  <si>
    <t>Debt financing</t>
  </si>
  <si>
    <t>Over US$200 million</t>
  </si>
  <si>
    <t>Demonstrates ability to obtain debt funding for customer-financing assets</t>
  </si>
  <si>
    <t>Equity financing</t>
  </si>
  <si>
    <t>US$36.5 million</t>
  </si>
  <si>
    <t>Provides equity capital to support expansion and absorb operating risk</t>
  </si>
  <si>
    <t>US$65 million</t>
  </si>
  <si>
    <t>Provides third-party validation from a major development-finance institution</t>
  </si>
  <si>
    <t>Total financing facility at IFC commitment</t>
  </si>
  <si>
    <t>Up to US$180 million</t>
  </si>
  <si>
    <t>Indicates access to structured and local-currency financing</t>
  </si>
  <si>
    <t>10 million customers</t>
  </si>
  <si>
    <t>Demonstrates the ability to manage a large customer and credit portfolio</t>
  </si>
  <si>
    <t>Geographic presence</t>
  </si>
  <si>
    <t>Five African markets</t>
  </si>
  <si>
    <t>Shows multi-country operating and regulatory experience</t>
  </si>
  <si>
    <t>Direct sales network</t>
  </si>
  <si>
    <t>More than 40,000 agents</t>
  </si>
  <si>
    <t>Demonstrates large-scale customer acquisition and distribution capability</t>
  </si>
  <si>
    <t>Payments processed</t>
  </si>
  <si>
    <t>More than 2 million payments per day</t>
  </si>
  <si>
    <t>Demonstrates high-volume payment collection and account-management capability</t>
  </si>
  <si>
    <t>Kenya manufacturing facility</t>
  </si>
  <si>
    <t>More than 3.3 million devices produced</t>
  </si>
  <si>
    <t>Demonstrates physical-product operations and supply-chain capability</t>
  </si>
  <si>
    <t>Approximately 50% average annual growth since 2020</t>
  </si>
  <si>
    <t>Supports evidence of scalability</t>
  </si>
  <si>
    <t>Credit decision process</t>
  </si>
  <si>
    <t>Uses payment history, account behaviour and onboarding information</t>
  </si>
  <si>
    <t>Closely matches SunCulture’s repayment and customer-data assets</t>
  </si>
  <si>
    <t>Credit models</t>
  </si>
  <si>
    <t>Proprietary credit, eligibility and pricing models</t>
  </si>
  <si>
    <t>Demonstrates the ability to monetise behavioural data through underwriting</t>
  </si>
  <si>
    <t>Device data</t>
  </si>
  <si>
    <t>Collects product telemetry, usage and device-level information</t>
  </si>
  <si>
    <t>Creates technical similarity with SunCulture’s IoT-enabled equipment data</t>
  </si>
  <si>
    <t>Product</t>
  </si>
  <si>
    <t>Deposit (KES)</t>
  </si>
  <si>
    <t>Monthly Payment</t>
  </si>
  <si>
    <t>Tenor</t>
  </si>
  <si>
    <t>Total Contractual Collections</t>
  </si>
  <si>
    <t>Cash Price</t>
  </si>
  <si>
    <t>Observable Uplift</t>
  </si>
  <si>
    <t>RainMaker2S + CSD2</t>
  </si>
  <si>
    <t>RainMaker Kubwa MAX + CSD2</t>
  </si>
  <si>
    <t>RainMaker2S MAX + CSD2</t>
  </si>
  <si>
    <t>Surface Pump + CSD1</t>
  </si>
  <si>
    <t>N/A</t>
  </si>
  <si>
    <t>RainMaker2S + CSB2</t>
  </si>
  <si>
    <t>RainMaker Kubwa MAX + CSB2</t>
  </si>
  <si>
    <t>Hydromax Solar + CSD2</t>
  </si>
  <si>
    <t>Data Category</t>
  </si>
  <si>
    <t>Available Evidence</t>
  </si>
  <si>
    <t>Potential Economic Value</t>
  </si>
  <si>
    <t>Application for M-KOPA</t>
  </si>
  <si>
    <t>Evidence Strength</t>
  </si>
  <si>
    <t>Repayment Data</t>
  </si>
  <si>
    <t>Customer payment dates, repayment history, arrears and customer tenure</t>
  </si>
  <si>
    <t>Improves credit scoring and may reduce expected credit losses</t>
  </si>
  <si>
    <t>Can be incorporated into M-KOPA’s existing credit, eligibility and pricing models</t>
  </si>
  <si>
    <t>Customer Demographic Data</t>
  </si>
  <si>
    <t>Customer identity, household and demographic information</t>
  </si>
  <si>
    <t>Supports customer segmentation and underwriting</t>
  </si>
  <si>
    <t>Helps M-KOPA distinguish risk and affordability across customer groups</t>
  </si>
  <si>
    <t>Moderate</t>
  </si>
  <si>
    <t>Geographic Data</t>
  </si>
  <si>
    <t>Farm, customer and equipment-location information</t>
  </si>
  <si>
    <t>Supports geographic risk assessment and targeted distribution</t>
  </si>
  <si>
    <t>Can identify regions suitable for agricultural asset financing</t>
  </si>
  <si>
    <t>IoT Usage Data</t>
  </si>
  <si>
    <t>Connected pumps generate equipment-usage and operating data</t>
  </si>
  <si>
    <t>Provides observable evidence of productive-asset usage</t>
  </si>
  <si>
    <t>May help M-KOPA link asset usage to repayment capacity</t>
  </si>
  <si>
    <t>Equipment-Performance Data</t>
  </si>
  <si>
    <t>Remote monitoring identifies operating conditions and technical problems</t>
  </si>
  <si>
    <t>Supports predictive maintenance and reduces servicing costs</t>
  </si>
  <si>
    <t>Could reduce payment interruptions caused by equipment failure</t>
  </si>
  <si>
    <t>Agricultural Data</t>
  </si>
  <si>
    <t>Information about crops, irrigation activity, farm conditions and productive behaviour</t>
  </si>
  <si>
    <t>Supports agricultural credit, insurance and product design</t>
  </si>
  <si>
    <t>Gives M-KOPA access to data not available from smartphone repayments alone</t>
  </si>
  <si>
    <t>Customer-Service Data</t>
  </si>
  <si>
    <t>Installation, maintenance, complaints and after-sales interactions</t>
  </si>
  <si>
    <t>Helps identify customer risk and service requirements</t>
  </si>
  <si>
    <t>Can improve collections and customer-retention strategies</t>
  </si>
  <si>
    <t>Transaction and Market Data</t>
  </si>
  <si>
    <t>Farmers may record commercial activity and interact with buyers through SunCulture’s digital platforms</t>
  </si>
  <si>
    <t>Supports market linkage, working-capital lending and cross-selling</t>
  </si>
  <si>
    <t>Could enable M-KOPA to expand beyond equipment financing</t>
  </si>
  <si>
    <t>Emerging</t>
  </si>
  <si>
    <t>Historical Data Depth</t>
  </si>
  <si>
    <t>SunCulture reports approximately 13 years of operational and customer observations</t>
  </si>
  <si>
    <t>Longer histories may improve predictive accuracy and cohort analysis</t>
  </si>
  <si>
    <t>Provides an established dataset instead of requiring M-KOPA to build one from the beginning</t>
  </si>
  <si>
    <t>Strong but unverified</t>
  </si>
  <si>
    <t>Customer Coverage</t>
  </si>
  <si>
    <t>More than 85,000 farmers or farms served</t>
  </si>
  <si>
    <t>Creates a meaningful initial data pool</t>
  </si>
  <si>
    <t>Offers an entry point into agricultural customer financing</t>
  </si>
  <si>
    <t>Internal Data Capability</t>
  </si>
  <si>
    <t>Approximately 40 software, digital and data specialists</t>
  </si>
  <si>
    <t>Demonstrates that the data is supported by internal technical resources</t>
  </si>
  <si>
    <t>May reduce the difficulty of data migration and model integration</t>
  </si>
  <si>
    <t>Credit Decision Application</t>
  </si>
  <si>
    <t>SunCulture states that repayment, customer-tenure and equipment-usage information can inform financing eligibility</t>
  </si>
  <si>
    <t>Shows that the data already has an identified underwriting use</t>
  </si>
  <si>
    <t>Closely aligned with M-KOPA’s data-driven lending model</t>
  </si>
  <si>
    <t>Cross-Selling Application</t>
  </si>
  <si>
    <t>Customer data can support input financing, insurance, agronomy and market-access services</t>
  </si>
  <si>
    <t>Generates potential incremental revenue beyond irrigation products</t>
  </si>
  <si>
    <t>Matches M-KOPA’s strategy of using an initial financed product to offer additional services</t>
  </si>
  <si>
    <t>Data Ownership and Consent</t>
  </si>
  <si>
    <t>Public information does not establish the precise ownership rights or scope of customer consent</t>
  </si>
  <si>
    <t>Determines how much of the dataset can legally be monetised</t>
  </si>
  <si>
    <t>Must be verified before assigning full value to the data</t>
  </si>
  <si>
    <t>Data Quality</t>
  </si>
  <si>
    <t>No public disclosure of missing values, consistency, accuracy or customer-level coverage</t>
  </si>
  <si>
    <t>Poor-quality data would reduce predictive and commercial value</t>
  </si>
  <si>
    <t>Requires technical due diligence and sample testing</t>
  </si>
  <si>
    <t>Demonstrated Model Performance</t>
  </si>
  <si>
    <t>No public disclosure of model accuracy, loss reduction, approval-rate improvement or predictive uplift</t>
  </si>
  <si>
    <t>Needed to translate the dataset into measurable financial benefits</t>
  </si>
  <si>
    <t>Prevents a precise standalone valuation using public data alone</t>
  </si>
  <si>
    <t>Regulatory Transferability</t>
  </si>
  <si>
    <t>Kenyan law permits data processing and transfer only under applicable consent, purpose and security requirements</t>
  </si>
  <si>
    <t>May create compliance and integration costs</t>
  </si>
  <si>
    <t>Makes transferability conditional rather than automatic</t>
  </si>
  <si>
    <t>Conditional</t>
  </si>
  <si>
    <t>An acquisition would give M-KOPA control over SunCulture’s PAYGrow platform, farmer repayment history, IoT data and agricultural servicing network. A commercial partnership could provide product distribution, but would not offer the same control over customer data, underwriting development and future cross-selling opportunities.</t>
    <phoneticPr fontId="2" type="noConversion"/>
  </si>
  <si>
    <t>Has the field operations, technology, collections, servicing and customer-support capability required to manage SunCulture’s installed asset base.</t>
    <phoneticPr fontId="2" type="noConversion"/>
  </si>
  <si>
    <t>Operating Capacity</t>
    <phoneticPr fontId="2" type="noConversion"/>
  </si>
  <si>
    <t>Historical PAYGo experience</t>
  </si>
  <si>
    <t>M-KOPA began its operations by financing solar products through PAYGo</t>
  </si>
  <si>
    <t>Demonstrates direct experience financing connected physical assets</t>
  </si>
  <si>
    <t>Product expansion</t>
  </si>
  <si>
    <t>M-KOPA expanded from solar into smartphones, e-motorbikes, digital loans and insurance</t>
  </si>
  <si>
    <t>Shows that its financing platform can be applied to new asset categories</t>
  </si>
  <si>
    <t>Geographic overlap</t>
  </si>
  <si>
    <t>M-KOPA and SunCulture both operate in Kenya and Uganda</t>
  </si>
  <si>
    <t>Reduces market-entry and regulatory integration difficulty</t>
  </si>
  <si>
    <t>Acquisition advantage</t>
  </si>
  <si>
    <t>Ownership would provide control over PAYGrow, customer relationships and proprietary agricultural data</t>
  </si>
  <si>
    <t>Explains why acquisition could create more value than distribution alone</t>
  </si>
  <si>
    <t>Acquisition intention</t>
  </si>
  <si>
    <t>No public evidence confirms that M-KOPA is actively pursuing SunCulture</t>
  </si>
  <si>
    <t>Distinguishes strategic logic from an actual transaction</t>
  </si>
  <si>
    <t>Privacy framework</t>
  </si>
  <si>
    <t>M-KOPA processes payment, device and credit data and permits transaction-related data disclosure</t>
  </si>
  <si>
    <t>Demonstrates an existing data-governance framework</t>
  </si>
  <si>
    <t>SunCulture customer consent</t>
  </si>
  <si>
    <t>Public information does not confirm that existing consent covers use by a new owner</t>
  </si>
  <si>
    <t>Limits immediate transferability</t>
  </si>
  <si>
    <t>Technical integration</t>
  </si>
  <si>
    <t>Both businesses collect connected-device and repayment data</t>
  </si>
  <si>
    <t>Suggests technical compatibility, subject to system testing</t>
  </si>
  <si>
    <t>Asset</t>
  </si>
  <si>
    <t>Irrigation hardware</t>
  </si>
  <si>
    <t>Financing engines</t>
  </si>
  <si>
    <t>Farmer behavioural and agricultural data</t>
  </si>
  <si>
    <t>Customer base and distribution reach</t>
  </si>
  <si>
    <t>Bundled services</t>
  </si>
  <si>
    <t>Brand, mission and credibility</t>
  </si>
  <si>
    <t>Score</t>
  </si>
  <si>
    <t>Meaning</t>
  </si>
  <si>
    <t>Very weak</t>
  </si>
  <si>
    <t>Weak</t>
  </si>
  <si>
    <t>Very strong</t>
  </si>
  <si>
    <t>Strategic Fit （35%）</t>
    <phoneticPr fontId="2" type="noConversion"/>
  </si>
  <si>
    <t>Economic Value （30%）</t>
    <phoneticPr fontId="2" type="noConversion"/>
  </si>
  <si>
    <t>Transferability （20%）</t>
    <phoneticPr fontId="2" type="noConversion"/>
  </si>
  <si>
    <t>Differentiation（15%）</t>
    <phoneticPr fontId="2" type="noConversion"/>
  </si>
  <si>
    <t>Observable Uplift %</t>
    <phoneticPr fontId="2" type="noConversion"/>
  </si>
  <si>
    <t>Value Mechanism</t>
  </si>
  <si>
    <t>How Value Is Created</t>
  </si>
  <si>
    <t>Evidence Available</t>
  </si>
  <si>
    <t>Current Valuation Status</t>
  </si>
  <si>
    <t>Credit-loss reduction</t>
  </si>
  <si>
    <t>Repayment and equipment-usage data may improve customer selection</t>
  </si>
  <si>
    <t>Repayment, tenure and IoT usage data exist</t>
  </si>
  <si>
    <t>Scenario only</t>
  </si>
  <si>
    <t>Cross-selling</t>
  </si>
  <si>
    <t>Eligible farmers may receive loans, insurance and other services</t>
  </si>
  <si>
    <t>Both companies already offer additional financial services</t>
  </si>
  <si>
    <t>Predictive maintenance</t>
  </si>
  <si>
    <t>Remote monitoring may identify faults before they interrupt customer payments</t>
  </si>
  <si>
    <t>SunCulture uses IoT monitoring</t>
  </si>
  <si>
    <t>Qualitative evidence</t>
  </si>
  <si>
    <t>Customer acquisition</t>
  </si>
  <si>
    <t>M-KOPA would gain access to an established agricultural customer base</t>
  </si>
  <si>
    <t>SunCulture serves 85,000+ farmers or farms</t>
  </si>
  <si>
    <t>Customer activity must be verified</t>
  </si>
  <si>
    <t>Agricultural underwriting</t>
  </si>
  <si>
    <t>Physical usage data provides evidence of productive activity</t>
  </si>
  <si>
    <t>Connected pumps generate real-world usage information</t>
  </si>
  <si>
    <t>Strong strategic value</t>
  </si>
  <si>
    <t>Compliance costs</t>
  </si>
  <si>
    <t>Consent remediation and data migration may reduce gross value</t>
  </si>
  <si>
    <t>Existing customer permissions are not public</t>
  </si>
  <si>
    <t>Due diligence required</t>
  </si>
  <si>
    <t>Source</t>
    <phoneticPr fontId="2" type="noConversion"/>
  </si>
  <si>
    <t>S01</t>
  </si>
  <si>
    <t>2026 EEMCC Case Final</t>
    <phoneticPr fontId="2" type="noConversion"/>
  </si>
  <si>
    <t>S02</t>
  </si>
  <si>
    <t>S03</t>
  </si>
  <si>
    <t>Source ID</t>
  </si>
  <si>
    <t>S04</t>
  </si>
  <si>
    <t>S05</t>
  </si>
  <si>
    <t>S07</t>
  </si>
  <si>
    <t>S08</t>
  </si>
  <si>
    <t>S09</t>
  </si>
  <si>
    <t>S11</t>
  </si>
  <si>
    <t>S12</t>
  </si>
  <si>
    <t>S13</t>
  </si>
  <si>
    <t>S14</t>
  </si>
  <si>
    <t>S15</t>
  </si>
  <si>
    <t>S17</t>
  </si>
  <si>
    <t>S18</t>
  </si>
  <si>
    <t>S19</t>
  </si>
  <si>
    <t>S20</t>
  </si>
  <si>
    <t>S21</t>
  </si>
  <si>
    <t>S22</t>
  </si>
  <si>
    <t>S23</t>
  </si>
  <si>
    <t>Original URL / File</t>
  </si>
  <si>
    <t>https://www.m-kopa.com/newsroom/m-kopa-reaches-10-million-customers-across-5-markets</t>
    <phoneticPr fontId="11" type="noConversion"/>
  </si>
  <si>
    <t>https://www.m-kopa.com/newsroom/m-kopa-raises-over-250m-in-new-financing</t>
    <phoneticPr fontId="11" type="noConversion"/>
  </si>
  <si>
    <t>https://disclosures.ifc.org/project-detail/SII/45894/mkopa-debt</t>
    <phoneticPr fontId="2" type="noConversion"/>
  </si>
  <si>
    <t>https://www.m-kopa.com/impact</t>
    <phoneticPr fontId="2" type="noConversion"/>
  </si>
  <si>
    <t>https://www.m-kopa.com/privacy-notice</t>
    <phoneticPr fontId="2" type="noConversion"/>
  </si>
  <si>
    <t>https://sunculture.io/about-us/</t>
    <phoneticPr fontId="2" type="noConversion"/>
  </si>
  <si>
    <t>https://sunculture.io/blog/2026/06/22/2025/</t>
    <phoneticPr fontId="2" type="noConversion"/>
  </si>
  <si>
    <t>https://www.odpc.go.ke/wp-content/uploads/2024/02/TheDataProtectionAct__No24of2019.pdf</t>
    <phoneticPr fontId="2" type="noConversion"/>
  </si>
  <si>
    <t>https://www.netafim.com/en/blog/how-better-life-farming-is-uplifting-smallholders/</t>
    <phoneticPr fontId="2" type="noConversion"/>
  </si>
  <si>
    <t>https://www.orbia.com/498a9a/siteassets/5.-investor-relations/annual-reports/2024-annual-report/orbia_annual-report-2024_en.pdf</t>
    <phoneticPr fontId="2" type="noConversion"/>
  </si>
  <si>
    <t>https://www.macquarie.com/us/en/investors/reports/full-year-2026.html</t>
    <phoneticPr fontId="2" type="noConversion"/>
  </si>
  <si>
    <t>https://www.odpc.go.ke/wp-content/uploads/2024/02/ODPC-Guidance-Note-on-Data-Protection-Impact-Assessment-1.pdf</t>
    <phoneticPr fontId="2" type="noConversion"/>
  </si>
  <si>
    <t>https://assets.bii.co.uk/wp-content/uploads/2025/11/03144700/Strengthening-climate-adaptation-and-resilience-using-blended-finance.pdf</t>
    <phoneticPr fontId="2" type="noConversion"/>
  </si>
  <si>
    <t>https://www.davisandshirtliff.com/downloads/newsletters/current-newsletter.157.pdf</t>
    <phoneticPr fontId="2" type="noConversion"/>
  </si>
  <si>
    <t>https://www.sumitomocorp.com/en/europe/news/release/2023/group/16700</t>
    <phoneticPr fontId="2" type="noConversion"/>
  </si>
  <si>
    <t>https://www.davisandshirtliff.com/articles-press-releases/863-new-energy-asset-financing-company-launched-by-davis-shirtliff-and-4r-digital</t>
    <phoneticPr fontId="2" type="noConversion"/>
  </si>
  <si>
    <t>https://www.netafim.com/globalassets/netafim_communication_on_progress_2014_final.pdf</t>
    <phoneticPr fontId="2" type="noConversion"/>
  </si>
  <si>
    <t>https://www.macquarie.com/it/en/insights/delivering-the-low-carbon-transition-in-emerging-markets-and-developing-economies.html</t>
    <phoneticPr fontId="2" type="noConversion"/>
  </si>
  <si>
    <t>File Provided by the Competition</t>
    <phoneticPr fontId="2" type="noConversion"/>
  </si>
  <si>
    <t>M-KOPA Reaches 10 Million Customers Across 5 Markets</t>
    <phoneticPr fontId="11" type="noConversion"/>
  </si>
  <si>
    <t>M-KOPA Raises over $250m in New Financing</t>
    <phoneticPr fontId="11" type="noConversion"/>
  </si>
  <si>
    <t>IFC Project 45894 / MKOPA debt</t>
    <phoneticPr fontId="2" type="noConversion"/>
  </si>
  <si>
    <t>M-KOPA Impact</t>
    <phoneticPr fontId="2" type="noConversion"/>
  </si>
  <si>
    <t>M-KOPA Privacy Notice</t>
    <phoneticPr fontId="2" type="noConversion"/>
  </si>
  <si>
    <t>SunCulture About Us</t>
    <phoneticPr fontId="2" type="noConversion"/>
  </si>
  <si>
    <t>SunCulture “2025”</t>
    <phoneticPr fontId="2" type="noConversion"/>
  </si>
  <si>
    <t>Kenya Data Protection Act</t>
    <phoneticPr fontId="2" type="noConversion"/>
  </si>
  <si>
    <t>Netafim How Better Life Farming Is Uplifting Smallholders</t>
    <phoneticPr fontId="2" type="noConversion"/>
  </si>
  <si>
    <t>Orbia 2024 Annual Report</t>
    <phoneticPr fontId="2" type="noConversion"/>
  </si>
  <si>
    <t>Davis &amp; Shirtliff ESG Report 2023</t>
    <phoneticPr fontId="2" type="noConversion"/>
  </si>
  <si>
    <t>Macquarie FY2026 Annual Report</t>
    <phoneticPr fontId="2" type="noConversion"/>
  </si>
  <si>
    <t>ODPC Guidance Note on Data Protection Impact Assessment</t>
    <phoneticPr fontId="2" type="noConversion"/>
  </si>
  <si>
    <t>BII Strengthening Climate Adaptation and Resilience Using Blended Finance</t>
    <phoneticPr fontId="2" type="noConversion"/>
  </si>
  <si>
    <t>D&amp;S Newsletter No.157</t>
    <phoneticPr fontId="2" type="noConversion"/>
  </si>
  <si>
    <t>Sumitomo Capital Increase for M-KOPA</t>
    <phoneticPr fontId="2" type="noConversion"/>
  </si>
  <si>
    <t>D&amp;S New Energy Asset Financing Company Launched</t>
    <phoneticPr fontId="2" type="noConversion"/>
  </si>
  <si>
    <t>Netafim UNGC Communication on Progress 2014</t>
    <phoneticPr fontId="2" type="noConversion"/>
  </si>
  <si>
    <t>Macquarie Delivering the Low-carbon Transition in Emerging Markets and Developing Economies</t>
    <phoneticPr fontId="2" type="noConversion"/>
  </si>
  <si>
    <t>S20; S03</t>
  </si>
  <si>
    <t>S02; S07</t>
  </si>
  <si>
    <t>S07; S05</t>
  </si>
  <si>
    <t>S02; S03</t>
  </si>
  <si>
    <t>S02; S05; S20</t>
  </si>
  <si>
    <t>S01; S02</t>
  </si>
  <si>
    <t>S01; S05; S07</t>
  </si>
  <si>
    <t>S02; S03; S04; S20</t>
  </si>
  <si>
    <t>S01; S11</t>
  </si>
  <si>
    <t>S01; S07; S08</t>
  </si>
  <si>
    <t>S01; S03; S04; S05; S18</t>
  </si>
  <si>
    <t>S01; S07; S08; S09; S11</t>
  </si>
  <si>
    <t>S01; S05</t>
  </si>
  <si>
    <t>S01; S18</t>
  </si>
  <si>
    <t>Source ID</t>
    <phoneticPr fontId="2" type="noConversion"/>
  </si>
  <si>
    <t>S01; S09</t>
  </si>
  <si>
    <t>S01; S08</t>
  </si>
  <si>
    <t>S01; S05; S08</t>
  </si>
  <si>
    <t>S07; S11</t>
  </si>
  <si>
    <t>S01; S08; S09</t>
  </si>
  <si>
    <t>S11; S17</t>
  </si>
  <si>
    <t>S01; S07; S08</t>
    <phoneticPr fontId="11" type="noConversion"/>
  </si>
  <si>
    <t>S11; S17; S07</t>
  </si>
  <si>
    <t xml:space="preserve">Source ID </t>
    <phoneticPr fontId="2" type="noConversion"/>
  </si>
  <si>
    <t>Pillars Selected</t>
    <phoneticPr fontId="2" type="noConversion"/>
  </si>
  <si>
    <t xml:space="preserve">Current Value </t>
    <phoneticPr fontId="2" type="noConversion"/>
  </si>
  <si>
    <t>Why the pillar can support long-term operation</t>
    <phoneticPr fontId="2" type="noConversion"/>
  </si>
  <si>
    <t>Critieria must be satisfied</t>
    <phoneticPr fontId="2" type="noConversion"/>
  </si>
  <si>
    <t xml:space="preserve">Assuption Based </t>
    <phoneticPr fontId="2" type="noConversion"/>
  </si>
  <si>
    <t>Financing Engine</t>
    <phoneticPr fontId="2" type="noConversion"/>
  </si>
  <si>
    <t xml:space="preserve">Farmer Behavioral and Agricultural Data </t>
    <phoneticPr fontId="2" type="noConversion"/>
  </si>
  <si>
    <t>Through down payment and installment plans, more farmers can purchase equipment and form a continuous collection of payments</t>
    <phoneticPr fontId="2" type="noConversion"/>
  </si>
  <si>
    <t>Provide information for understanding repayment, equipment usage and agricultural operations</t>
    <phoneticPr fontId="2" type="noConversion"/>
  </si>
  <si>
    <t>After the expiration of the existing contract, financing can still be provided for new customers, new equipment and subsequent demands. Long-term value stems from the ability to continuously carry out financing business</t>
    <phoneticPr fontId="2" type="noConversion"/>
  </si>
  <si>
    <t>The continuously increasing new records can help update credit granting and service decisions. The combination of historical records and new data may be more useful than individual customer information</t>
    <phoneticPr fontId="2" type="noConversion"/>
  </si>
  <si>
    <t>The right to use, continuously update, reliable quality, and verification of the actual decision-making effect</t>
    <phoneticPr fontId="2" type="noConversion"/>
  </si>
  <si>
    <t>Continuously funds inputs, controled credit losses, equipment mantainence and customer service</t>
    <phoneticPr fontId="2" type="noConversion"/>
  </si>
  <si>
    <t xml:space="preserve"> </t>
  </si>
  <si>
    <t>Data Availability</t>
  </si>
  <si>
    <t>Hard-gate screening + Evidence-based scoring</t>
  </si>
  <si>
    <t>Final Buyer Comparison</t>
  </si>
  <si>
    <t>Source</t>
  </si>
  <si>
    <t>https://www.netafim.com/en/blog/how-better-life-farming-is-uplifting-smallholders</t>
  </si>
  <si>
    <t>https://www.m-kopa.com/about</t>
  </si>
  <si>
    <t>https://www.netafim.com/en/search/?searchText=kenya</t>
  </si>
  <si>
    <t>S24</t>
  </si>
  <si>
    <t>S25</t>
  </si>
  <si>
    <t>S26</t>
  </si>
  <si>
    <t>https://www.davisandshirtliff.com/downloads/Davis-and-Shirtliff-Environment-Sustainability-and-Governance-Report-2023.pdf</t>
  </si>
  <si>
    <t>S28</t>
  </si>
  <si>
    <t>S29</t>
  </si>
  <si>
    <t>Financial Progress of M-KOPA</t>
  </si>
  <si>
    <t>How Better Life Farming is Uplifting Smallholders</t>
  </si>
  <si>
    <t>Rooted in the Land, Driven by Progress</t>
  </si>
  <si>
    <t>Davis Shirtliff Environment Sustainability and Governance Report</t>
  </si>
  <si>
    <t>Macquarie</t>
  </si>
  <si>
    <t>https://www.macquarie.com/au/en/insights/energy-and-climate-solutions.html</t>
  </si>
  <si>
    <t>Role across energy and climate solutions</t>
  </si>
  <si>
    <t>S25, S25,S13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</si>
</sst>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Aptos Narrow"/>
      <family val="2"/>
      <charset val="134"/>
      <scheme val="minor"/>
    </font>
    <font>
      <sz val="12"/>
      <color rgb="FFFF0000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  <font>
      <b/>
      <sz val="16"/>
      <color theme="1"/>
      <name val="Aptos Narrow"/>
      <family val="4"/>
      <charset val="134"/>
      <scheme val="minor"/>
    </font>
    <font>
      <b/>
      <sz val="14"/>
      <color theme="1"/>
      <name val="Aptos Narrow"/>
      <family val="4"/>
      <charset val="134"/>
      <scheme val="minor"/>
    </font>
    <font>
      <sz val="14"/>
      <color theme="1"/>
      <name val="Aptos Narrow"/>
      <family val="4"/>
      <charset val="134"/>
      <scheme val="minor"/>
    </font>
    <font>
      <u/>
      <sz val="12"/>
      <color theme="10"/>
      <name val="Aptos Narrow"/>
      <family val="2"/>
      <charset val="134"/>
      <scheme val="minor"/>
    </font>
    <font>
      <sz val="12"/>
      <color rgb="FFFF0000"/>
      <name val="等线"/>
      <family val="3"/>
      <charset val="134"/>
    </font>
    <font>
      <b/>
      <sz val="14"/>
      <color rgb="FFFF0000"/>
      <name val="Aptos Narrow"/>
      <family val="4"/>
      <charset val="134"/>
      <scheme val="minor"/>
    </font>
    <font>
      <b/>
      <sz val="12"/>
      <color theme="1"/>
      <name val="Aptos Narrow"/>
      <family val="4"/>
      <charset val="134"/>
      <scheme val="minor"/>
    </font>
    <font>
      <sz val="12"/>
      <color theme="1"/>
      <name val="Aptos Narrow"/>
      <family val="4"/>
      <charset val="134"/>
      <scheme val="minor"/>
    </font>
    <font>
      <sz val="9"/>
      <name val="FangSong"/>
      <family val="3"/>
      <charset val="134"/>
    </font>
    <font>
      <sz val="12"/>
      <color rgb="FF18343F"/>
      <name val="Aptos Narrow"/>
      <family val="4"/>
      <charset val="134"/>
      <scheme val="minor"/>
    </font>
    <font>
      <b/>
      <sz val="12"/>
      <color rgb="FF18343F"/>
      <name val="Aptos Narrow"/>
      <family val="4"/>
      <charset val="134"/>
      <scheme val="minor"/>
    </font>
    <font>
      <b/>
      <sz val="12"/>
      <color rgb="FF1E4654"/>
      <name val="Aptos Narrow"/>
      <family val="4"/>
      <charset val="134"/>
      <scheme val="minor"/>
    </font>
    <font>
      <b/>
      <sz val="11"/>
      <color rgb="FF1E4654"/>
      <name val="Aptos Narrow"/>
      <family val="4"/>
      <charset val="134"/>
      <scheme val="minor"/>
    </font>
    <font>
      <b/>
      <sz val="14"/>
      <color theme="1"/>
      <name val="Aptos Narrow"/>
      <scheme val="minor"/>
    </font>
    <font>
      <b/>
      <sz val="12"/>
      <color rgb="FF102A36"/>
      <name val="Aptos Narrow"/>
      <scheme val="minor"/>
    </font>
    <font>
      <b/>
      <sz val="12"/>
      <color rgb="FF18343F"/>
      <name val="Aptos Narrow"/>
      <scheme val="minor"/>
    </font>
    <font>
      <sz val="12"/>
      <color rgb="FF18343F"/>
      <name val="Aptos Narrow"/>
      <scheme val="minor"/>
    </font>
    <font>
      <u/>
      <sz val="12"/>
      <color theme="10"/>
      <name val="Aptos Narrow"/>
      <scheme val="minor"/>
    </font>
    <font>
      <sz val="12"/>
      <color rgb="FF414042"/>
      <name val="Aptos Narrow"/>
      <scheme val="minor"/>
    </font>
    <font>
      <b/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9" fontId="0" fillId="0" borderId="0" xfId="0" applyNumberFormat="1">
      <alignment vertical="center"/>
    </xf>
    <xf numFmtId="0" fontId="4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3" fontId="0" fillId="0" borderId="0" xfId="0" applyNumberFormat="1">
      <alignment vertical="center"/>
    </xf>
    <xf numFmtId="0" fontId="5" fillId="2" borderId="0" xfId="0" applyFont="1" applyFill="1" applyAlignment="1">
      <alignment horizontal="center" vertical="center"/>
    </xf>
    <xf numFmtId="0" fontId="9" fillId="2" borderId="0" xfId="0" applyFont="1" applyFill="1">
      <alignment vertical="center"/>
    </xf>
    <xf numFmtId="10" fontId="0" fillId="0" borderId="0" xfId="0" applyNumberFormat="1">
      <alignment vertical="center"/>
    </xf>
    <xf numFmtId="0" fontId="9" fillId="6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0" fontId="14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vertical="center" wrapText="1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6" fillId="0" borderId="0" xfId="1" applyAlignment="1">
      <alignment vertical="top" wrapText="1"/>
    </xf>
    <xf numFmtId="0" fontId="17" fillId="6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0" fontId="19" fillId="0" borderId="0" xfId="0" applyFont="1" applyAlignment="1">
      <alignment vertical="top" wrapText="1"/>
    </xf>
    <xf numFmtId="0" fontId="20" fillId="0" borderId="0" xfId="1" applyFont="1" applyAlignment="1">
      <alignment vertical="top" wrapText="1"/>
    </xf>
    <xf numFmtId="0" fontId="20" fillId="0" borderId="0" xfId="1" applyFont="1">
      <alignment vertical="center"/>
    </xf>
    <xf numFmtId="0" fontId="20" fillId="0" borderId="0" xfId="1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dpc.go.ke/wp-content/uploads/2024/02/TheDataProtectionAct__No24of2019.pdf" TargetMode="External"/><Relationship Id="rId13" Type="http://schemas.openxmlformats.org/officeDocument/2006/relationships/hyperlink" Target="https://www.odpc.go.ke/wp-content/uploads/2024/02/ODPC-Guidance-Note-on-Data-Protection-Impact-Assessment-1.pdf" TargetMode="External"/><Relationship Id="rId18" Type="http://schemas.openxmlformats.org/officeDocument/2006/relationships/hyperlink" Target="https://www.netafim.com/globalassets/netafim_communication_on_progress_2014_final.pdf" TargetMode="External"/><Relationship Id="rId3" Type="http://schemas.openxmlformats.org/officeDocument/2006/relationships/hyperlink" Target="https://disclosures.ifc.org/project-detail/SII/45894/mkopa-debt" TargetMode="External"/><Relationship Id="rId21" Type="http://schemas.openxmlformats.org/officeDocument/2006/relationships/hyperlink" Target="https://www.netafim.com/en/search/?searchText=kenya" TargetMode="External"/><Relationship Id="rId7" Type="http://schemas.openxmlformats.org/officeDocument/2006/relationships/hyperlink" Target="https://sunculture.io/blog/2026/06/22/2025/" TargetMode="External"/><Relationship Id="rId12" Type="http://schemas.openxmlformats.org/officeDocument/2006/relationships/hyperlink" Target="https://www.macquarie.com/us/en/investors/reports/full-year-2026.html" TargetMode="External"/><Relationship Id="rId17" Type="http://schemas.openxmlformats.org/officeDocument/2006/relationships/hyperlink" Target="https://www.davisandshirtliff.com/articles-press-releases/863-new-energy-asset-financing-company-launched-by-davis-shirtliff-and-4r-digital" TargetMode="External"/><Relationship Id="rId2" Type="http://schemas.openxmlformats.org/officeDocument/2006/relationships/hyperlink" Target="https://www.m-kopa.com/newsroom/m-kopa-raises-over-250m-in-new-financing" TargetMode="External"/><Relationship Id="rId16" Type="http://schemas.openxmlformats.org/officeDocument/2006/relationships/hyperlink" Target="https://www.sumitomocorp.com/en/europe/news/release/2023/group/16700" TargetMode="External"/><Relationship Id="rId20" Type="http://schemas.openxmlformats.org/officeDocument/2006/relationships/hyperlink" Target="https://www.m-kopa.com/about" TargetMode="External"/><Relationship Id="rId1" Type="http://schemas.openxmlformats.org/officeDocument/2006/relationships/hyperlink" Target="https://www.m-kopa.com/newsroom/m-kopa-reaches-10-million-customers-across-5-markets" TargetMode="External"/><Relationship Id="rId6" Type="http://schemas.openxmlformats.org/officeDocument/2006/relationships/hyperlink" Target="https://sunculture.io/about-us/" TargetMode="External"/><Relationship Id="rId11" Type="http://schemas.openxmlformats.org/officeDocument/2006/relationships/hyperlink" Target="https://www.davisandshirtliff.com/downloads/Davis-and-Shirtliff-Environment-Sustainability-and-Governance-Report-2023.pdf" TargetMode="External"/><Relationship Id="rId24" Type="http://schemas.openxmlformats.org/officeDocument/2006/relationships/hyperlink" Target="https://www.macquarie.com/au/en/insights/energy-and-climate-solutions.html" TargetMode="External"/><Relationship Id="rId5" Type="http://schemas.openxmlformats.org/officeDocument/2006/relationships/hyperlink" Target="https://www.m-kopa.com/privacy-notice" TargetMode="External"/><Relationship Id="rId15" Type="http://schemas.openxmlformats.org/officeDocument/2006/relationships/hyperlink" Target="https://www.davisandshirtliff.com/downloads/newsletters/current-newsletter.157.pdf" TargetMode="External"/><Relationship Id="rId23" Type="http://schemas.openxmlformats.org/officeDocument/2006/relationships/hyperlink" Target="https://www.davisandshirtliff.com/downloads/Davis-and-Shirtliff-Environment-Sustainability-and-Governance-Report-2023.pdf" TargetMode="External"/><Relationship Id="rId10" Type="http://schemas.openxmlformats.org/officeDocument/2006/relationships/hyperlink" Target="https://www.orbia.com/498a9a/siteassets/5.-investor-relations/annual-reports/2024-annual-report/orbia_annual-report-2024_en.pdf" TargetMode="External"/><Relationship Id="rId19" Type="http://schemas.openxmlformats.org/officeDocument/2006/relationships/hyperlink" Target="https://www.macquarie.com/it/en/insights/delivering-the-low-carbon-transition-in-emerging-markets-and-developing-economies.html" TargetMode="External"/><Relationship Id="rId4" Type="http://schemas.openxmlformats.org/officeDocument/2006/relationships/hyperlink" Target="https://www.m-kopa.com/impact" TargetMode="External"/><Relationship Id="rId9" Type="http://schemas.openxmlformats.org/officeDocument/2006/relationships/hyperlink" Target="https://www.netafim.com/en/blog/how-better-life-farming-is-uplifting-smallholders/" TargetMode="External"/><Relationship Id="rId14" Type="http://schemas.openxmlformats.org/officeDocument/2006/relationships/hyperlink" Target="https://assets.bii.co.uk/wp-content/uploads/2025/11/03144700/Strengthening-climate-adaptation-and-resilience-using-blended-finance.pdf" TargetMode="External"/><Relationship Id="rId22" Type="http://schemas.openxmlformats.org/officeDocument/2006/relationships/hyperlink" Target="https://www.netafim.com/en/blog/how-better-life-farming-is-uplifting-smallhold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467C8-F3A3-1B4D-BC06-DED0CAB7DD46}">
  <dimension ref="A1:N25"/>
  <sheetViews>
    <sheetView topLeftCell="D1" zoomScale="83" workbookViewId="0">
      <selection activeCell="K32" sqref="K32"/>
    </sheetView>
  </sheetViews>
  <sheetFormatPr baseColWidth="10" defaultRowHeight="16"/>
  <cols>
    <col min="1" max="1" width="47" customWidth="1"/>
    <col min="2" max="2" width="38.33203125" customWidth="1"/>
    <col min="3" max="3" width="95.5" customWidth="1"/>
    <col min="4" max="4" width="54.33203125" customWidth="1"/>
    <col min="5" max="5" width="72.1640625" customWidth="1"/>
    <col min="6" max="6" width="22.5" customWidth="1"/>
    <col min="7" max="7" width="18.5" customWidth="1"/>
    <col min="8" max="8" width="15.33203125" customWidth="1"/>
    <col min="9" max="9" width="44.1640625" customWidth="1"/>
    <col min="10" max="10" width="17.1640625" customWidth="1"/>
    <col min="13" max="13" width="39.83203125" customWidth="1"/>
    <col min="14" max="14" width="119.5" customWidth="1"/>
  </cols>
  <sheetData>
    <row r="1" spans="1:14" ht="22">
      <c r="A1" s="35" t="s">
        <v>2</v>
      </c>
      <c r="B1" s="35"/>
      <c r="C1" s="35"/>
      <c r="D1" s="35"/>
      <c r="E1" s="35"/>
      <c r="M1" s="36" t="s">
        <v>51</v>
      </c>
      <c r="N1" s="36"/>
    </row>
    <row r="2" spans="1:14" ht="22">
      <c r="A2" s="1" t="s">
        <v>0</v>
      </c>
      <c r="B2" s="1" t="s">
        <v>1</v>
      </c>
      <c r="C2" s="1" t="s">
        <v>20</v>
      </c>
      <c r="D2" s="1" t="s">
        <v>21</v>
      </c>
      <c r="E2" s="1" t="s">
        <v>27</v>
      </c>
      <c r="M2" s="3" t="s">
        <v>33</v>
      </c>
      <c r="N2" s="3" t="s">
        <v>45</v>
      </c>
    </row>
    <row r="3" spans="1:14">
      <c r="A3" t="s">
        <v>3</v>
      </c>
      <c r="B3" s="5" t="s">
        <v>9</v>
      </c>
      <c r="C3" t="s">
        <v>15</v>
      </c>
      <c r="D3" t="s">
        <v>22</v>
      </c>
      <c r="E3" t="s">
        <v>28</v>
      </c>
      <c r="M3" t="s">
        <v>35</v>
      </c>
      <c r="N3" t="s">
        <v>46</v>
      </c>
    </row>
    <row r="4" spans="1:14">
      <c r="A4" t="s">
        <v>4</v>
      </c>
      <c r="B4" s="5" t="s">
        <v>11</v>
      </c>
      <c r="C4" t="s">
        <v>16</v>
      </c>
      <c r="D4" t="s">
        <v>23</v>
      </c>
      <c r="E4" t="s">
        <v>29</v>
      </c>
      <c r="M4" t="s">
        <v>36</v>
      </c>
      <c r="N4" t="s">
        <v>47</v>
      </c>
    </row>
    <row r="5" spans="1:14">
      <c r="A5" t="s">
        <v>5</v>
      </c>
      <c r="B5" s="5" t="s">
        <v>13</v>
      </c>
      <c r="C5" t="s">
        <v>17</v>
      </c>
      <c r="D5" t="s">
        <v>24</v>
      </c>
      <c r="E5" t="s">
        <v>30</v>
      </c>
      <c r="M5" t="s">
        <v>37</v>
      </c>
      <c r="N5" t="s">
        <v>48</v>
      </c>
    </row>
    <row r="6" spans="1:14">
      <c r="A6" t="s">
        <v>6</v>
      </c>
      <c r="B6" t="s">
        <v>53</v>
      </c>
      <c r="C6" t="s">
        <v>18</v>
      </c>
      <c r="D6" t="s">
        <v>25</v>
      </c>
      <c r="E6" t="s">
        <v>31</v>
      </c>
      <c r="M6" t="s">
        <v>41</v>
      </c>
      <c r="N6" t="s">
        <v>49</v>
      </c>
    </row>
    <row r="7" spans="1:14">
      <c r="A7" t="s">
        <v>7</v>
      </c>
      <c r="B7" t="s">
        <v>14</v>
      </c>
      <c r="C7" t="s">
        <v>19</v>
      </c>
      <c r="D7" t="s">
        <v>26</v>
      </c>
      <c r="E7" t="s">
        <v>32</v>
      </c>
      <c r="M7" t="s">
        <v>42</v>
      </c>
      <c r="N7" t="s">
        <v>50</v>
      </c>
    </row>
    <row r="8" spans="1:14">
      <c r="M8" t="s">
        <v>206</v>
      </c>
      <c r="N8" t="s">
        <v>205</v>
      </c>
    </row>
    <row r="9" spans="1:14" ht="22">
      <c r="A9" s="35" t="s">
        <v>376</v>
      </c>
      <c r="B9" s="35"/>
      <c r="C9" s="35"/>
      <c r="D9" s="35"/>
      <c r="E9" s="35"/>
      <c r="F9" s="35"/>
      <c r="G9" s="35"/>
      <c r="H9" s="35"/>
      <c r="I9" s="35"/>
      <c r="J9" s="35"/>
    </row>
    <row r="10" spans="1:14" s="4" customFormat="1" ht="19">
      <c r="A10" s="2" t="s">
        <v>34</v>
      </c>
      <c r="B10" s="2" t="s">
        <v>35</v>
      </c>
      <c r="C10" s="2" t="s">
        <v>36</v>
      </c>
      <c r="D10" s="2" t="s">
        <v>37</v>
      </c>
      <c r="E10" s="2" t="s">
        <v>40</v>
      </c>
      <c r="F10" s="6" t="s">
        <v>375</v>
      </c>
      <c r="G10" s="6" t="s">
        <v>42</v>
      </c>
      <c r="H10" s="2" t="s">
        <v>43</v>
      </c>
      <c r="I10" s="2" t="s">
        <v>44</v>
      </c>
      <c r="J10" s="38" t="s">
        <v>378</v>
      </c>
    </row>
    <row r="11" spans="1:14">
      <c r="A11" t="s">
        <v>8</v>
      </c>
      <c r="B11" t="s">
        <v>38</v>
      </c>
      <c r="C11" t="s">
        <v>38</v>
      </c>
      <c r="D11" t="s">
        <v>38</v>
      </c>
      <c r="E11" t="s">
        <v>38</v>
      </c>
      <c r="F11" t="s">
        <v>39</v>
      </c>
      <c r="G11" t="s">
        <v>38</v>
      </c>
      <c r="H11">
        <f>COUNTIF(B11:G11,"Pass")+0.5*COUNTIF(B11:G11,"Unclear")</f>
        <v>5.5</v>
      </c>
      <c r="I11" t="str">
        <f>IF(COUNTIF(B11:G11,"Fail")&gt;0,"Rejected",IF(COUNTIF(B11:G11,"Unclear")&gt;0,"Advance provisionally - diligence required","Advance to weighted scoring"))</f>
        <v>Advance provisionally - diligence required</v>
      </c>
      <c r="J11" s="48" t="s">
        <v>382</v>
      </c>
    </row>
    <row r="12" spans="1:14">
      <c r="A12" t="s">
        <v>10</v>
      </c>
      <c r="B12" t="s">
        <v>38</v>
      </c>
      <c r="C12" t="s">
        <v>38</v>
      </c>
      <c r="D12" s="5" t="s">
        <v>38</v>
      </c>
      <c r="E12" t="s">
        <v>38</v>
      </c>
      <c r="F12" t="s">
        <v>39</v>
      </c>
      <c r="G12" t="s">
        <v>39</v>
      </c>
      <c r="H12">
        <f t="shared" ref="H12:H14" si="0">COUNTIF(B12:G12,"Pass")+0.5*COUNTIF(B12:G12,"Unclear")</f>
        <v>5</v>
      </c>
      <c r="I12" t="str">
        <f t="shared" ref="I12:I14" si="1">IF(COUNTIF(B12:G12,"Fail")&gt;0,"Rejected",IF(COUNTIF(B12:G12,"Unclear")&gt;0,"Advance provisionally - diligence required","Advance to weighted scoring"))</f>
        <v>Advance provisionally - diligence required</v>
      </c>
      <c r="J12" s="48" t="s">
        <v>395</v>
      </c>
    </row>
    <row r="13" spans="1:14">
      <c r="A13" t="s">
        <v>12</v>
      </c>
      <c r="B13" t="s">
        <v>38</v>
      </c>
      <c r="C13" t="s">
        <v>38</v>
      </c>
      <c r="D13" t="s">
        <v>39</v>
      </c>
      <c r="E13" t="s">
        <v>38</v>
      </c>
      <c r="F13" t="s">
        <v>39</v>
      </c>
      <c r="G13" t="s">
        <v>39</v>
      </c>
      <c r="H13">
        <f t="shared" si="0"/>
        <v>4.5</v>
      </c>
      <c r="I13" t="str">
        <f t="shared" si="1"/>
        <v>Advance provisionally - diligence required</v>
      </c>
      <c r="J13" s="48" t="s">
        <v>386</v>
      </c>
    </row>
    <row r="14" spans="1:14">
      <c r="A14" t="s">
        <v>392</v>
      </c>
      <c r="B14" t="s">
        <v>38</v>
      </c>
      <c r="C14" t="s">
        <v>38</v>
      </c>
      <c r="D14" t="s">
        <v>38</v>
      </c>
      <c r="E14" t="s">
        <v>39</v>
      </c>
      <c r="F14" t="s">
        <v>39</v>
      </c>
      <c r="G14" t="s">
        <v>39</v>
      </c>
      <c r="H14">
        <f t="shared" si="0"/>
        <v>4.5</v>
      </c>
      <c r="I14" t="str">
        <f t="shared" si="1"/>
        <v>Advance provisionally - diligence required</v>
      </c>
      <c r="J14" s="48" t="s">
        <v>387</v>
      </c>
    </row>
    <row r="17" spans="1:4" ht="22">
      <c r="A17" s="33" t="s">
        <v>377</v>
      </c>
      <c r="B17" s="33"/>
      <c r="C17" s="33"/>
      <c r="D17" s="33"/>
    </row>
    <row r="18" spans="1:4">
      <c r="A18" s="7" t="s">
        <v>54</v>
      </c>
      <c r="B18" t="s">
        <v>55</v>
      </c>
      <c r="C18" t="s">
        <v>9</v>
      </c>
      <c r="D18" t="s">
        <v>11</v>
      </c>
    </row>
    <row r="19" spans="1:4">
      <c r="A19" s="7" t="s">
        <v>56</v>
      </c>
      <c r="B19" s="8">
        <v>0.4</v>
      </c>
      <c r="C19">
        <v>5</v>
      </c>
      <c r="D19">
        <v>4</v>
      </c>
    </row>
    <row r="20" spans="1:4">
      <c r="A20" s="7" t="s">
        <v>57</v>
      </c>
      <c r="B20" s="8">
        <v>0.35</v>
      </c>
      <c r="C20">
        <v>4</v>
      </c>
      <c r="D20">
        <v>2</v>
      </c>
    </row>
    <row r="21" spans="1:4">
      <c r="A21" s="7" t="s">
        <v>58</v>
      </c>
      <c r="B21" s="8">
        <v>0.25</v>
      </c>
      <c r="C21">
        <v>3</v>
      </c>
      <c r="D21">
        <v>4</v>
      </c>
    </row>
    <row r="22" spans="1:4" ht="19">
      <c r="A22" s="34" t="s">
        <v>59</v>
      </c>
      <c r="B22" s="34"/>
      <c r="C22">
        <f>SUMPRODUCT($B$19:$B$21,C19:C21)</f>
        <v>4.1500000000000004</v>
      </c>
      <c r="D22">
        <f>SUMPRODUCT($B$19:$B$21,D19:D21)</f>
        <v>3.3</v>
      </c>
    </row>
    <row r="23" spans="1:4" ht="19">
      <c r="A23" s="34" t="s">
        <v>60</v>
      </c>
      <c r="B23" s="34"/>
      <c r="C23">
        <f>_xlfn.RANK.EQ(C22,$C$22:$D$22,0)</f>
        <v>1</v>
      </c>
      <c r="D23">
        <f>_xlfn.RANK.EQ(D22,$C$22:$D$22,0)</f>
        <v>2</v>
      </c>
    </row>
    <row r="24" spans="1:4" ht="19">
      <c r="C24" s="2" t="s">
        <v>61</v>
      </c>
    </row>
    <row r="25" spans="1:4">
      <c r="C25" t="s">
        <v>204</v>
      </c>
    </row>
  </sheetData>
  <mergeCells count="6">
    <mergeCell ref="A17:D17"/>
    <mergeCell ref="A22:B22"/>
    <mergeCell ref="A23:B23"/>
    <mergeCell ref="A1:E1"/>
    <mergeCell ref="M1:N1"/>
    <mergeCell ref="A9:J9"/>
  </mergeCells>
  <phoneticPr fontId="2" type="noConversion"/>
  <dataValidations count="1">
    <dataValidation type="list" allowBlank="1" showInputMessage="1" showErrorMessage="1" sqref="B11:G15" xr:uid="{23FA8E08-03C5-5A45-A580-B248F86453B5}">
      <formula1>"Pass,Unclear,Fail"</formula1>
    </dataValidation>
  </dataValidation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835AC-9356-2044-9D89-75F079EC68CA}">
  <dimension ref="A1:K34"/>
  <sheetViews>
    <sheetView zoomScale="75" workbookViewId="0">
      <selection activeCell="C41" sqref="C41"/>
    </sheetView>
  </sheetViews>
  <sheetFormatPr baseColWidth="10" defaultRowHeight="16"/>
  <cols>
    <col min="1" max="1" width="27.5" style="18" customWidth="1"/>
    <col min="2" max="2" width="63.5" style="18" customWidth="1"/>
    <col min="3" max="3" width="68" style="18" customWidth="1"/>
    <col min="4" max="4" width="22.5" customWidth="1"/>
    <col min="5" max="5" width="22.33203125" customWidth="1"/>
    <col min="6" max="6" width="21.5" customWidth="1"/>
    <col min="7" max="7" width="25.1640625" customWidth="1"/>
    <col min="8" max="8" width="14.5" customWidth="1"/>
  </cols>
  <sheetData>
    <row r="1" spans="1:8" ht="20">
      <c r="A1" s="26" t="s">
        <v>62</v>
      </c>
      <c r="B1" s="26" t="s">
        <v>69</v>
      </c>
      <c r="C1" s="26" t="s">
        <v>70</v>
      </c>
      <c r="D1" s="9" t="s">
        <v>71</v>
      </c>
      <c r="E1" s="9" t="s">
        <v>275</v>
      </c>
      <c r="F1" s="2"/>
      <c r="G1" s="7"/>
      <c r="H1" s="7"/>
    </row>
    <row r="2" spans="1:8" ht="17">
      <c r="A2" s="18" t="s">
        <v>65</v>
      </c>
      <c r="B2" s="18" t="s">
        <v>72</v>
      </c>
      <c r="C2" s="18" t="s">
        <v>73</v>
      </c>
      <c r="D2" s="11" t="s">
        <v>64</v>
      </c>
      <c r="E2" s="23" t="s">
        <v>278</v>
      </c>
      <c r="F2" s="23"/>
    </row>
    <row r="3" spans="1:8" ht="17">
      <c r="A3" s="18" t="s">
        <v>67</v>
      </c>
      <c r="B3" s="18" t="s">
        <v>74</v>
      </c>
      <c r="C3" s="18" t="s">
        <v>75</v>
      </c>
      <c r="D3" s="11" t="s">
        <v>64</v>
      </c>
      <c r="E3" s="23" t="s">
        <v>279</v>
      </c>
      <c r="F3" s="23"/>
    </row>
    <row r="4" spans="1:8" ht="17">
      <c r="A4" s="18" t="s">
        <v>76</v>
      </c>
      <c r="B4" s="18" t="s">
        <v>77</v>
      </c>
      <c r="C4" s="18" t="s">
        <v>78</v>
      </c>
      <c r="D4" s="11" t="s">
        <v>64</v>
      </c>
      <c r="E4" s="23" t="s">
        <v>279</v>
      </c>
      <c r="F4" s="23"/>
    </row>
    <row r="5" spans="1:8" ht="17">
      <c r="A5" s="18" t="s">
        <v>79</v>
      </c>
      <c r="B5" s="18" t="s">
        <v>80</v>
      </c>
      <c r="C5" s="18" t="s">
        <v>81</v>
      </c>
      <c r="D5" s="11" t="s">
        <v>64</v>
      </c>
      <c r="E5" s="23" t="s">
        <v>337</v>
      </c>
      <c r="F5" s="23"/>
    </row>
    <row r="6" spans="1:8" ht="17">
      <c r="A6" s="18" t="s">
        <v>68</v>
      </c>
      <c r="B6" s="18" t="s">
        <v>82</v>
      </c>
      <c r="C6" s="18" t="s">
        <v>83</v>
      </c>
      <c r="D6" s="11" t="s">
        <v>64</v>
      </c>
      <c r="E6" s="23" t="s">
        <v>281</v>
      </c>
      <c r="F6" s="23"/>
    </row>
    <row r="7" spans="1:8" ht="34">
      <c r="A7" s="18" t="s">
        <v>84</v>
      </c>
      <c r="B7" s="18" t="s">
        <v>85</v>
      </c>
      <c r="C7" s="18" t="s">
        <v>86</v>
      </c>
      <c r="D7" s="11" t="s">
        <v>64</v>
      </c>
      <c r="E7" s="23" t="s">
        <v>281</v>
      </c>
      <c r="F7" s="23"/>
    </row>
    <row r="8" spans="1:8" ht="17">
      <c r="A8" s="18" t="s">
        <v>63</v>
      </c>
      <c r="B8" s="18" t="s">
        <v>87</v>
      </c>
      <c r="C8" s="18" t="s">
        <v>88</v>
      </c>
      <c r="D8" s="11" t="s">
        <v>64</v>
      </c>
      <c r="E8" s="23" t="s">
        <v>278</v>
      </c>
      <c r="F8" s="23"/>
    </row>
    <row r="9" spans="1:8" ht="17">
      <c r="A9" s="18" t="s">
        <v>89</v>
      </c>
      <c r="B9" s="18" t="s">
        <v>90</v>
      </c>
      <c r="C9" s="18" t="s">
        <v>91</v>
      </c>
      <c r="D9" s="11" t="s">
        <v>64</v>
      </c>
      <c r="E9" s="23" t="s">
        <v>278</v>
      </c>
      <c r="F9" s="23"/>
    </row>
    <row r="10" spans="1:8" ht="17">
      <c r="A10" s="18" t="s">
        <v>92</v>
      </c>
      <c r="B10" s="18" t="s">
        <v>93</v>
      </c>
      <c r="C10" s="18" t="s">
        <v>94</v>
      </c>
      <c r="D10" s="11" t="s">
        <v>64</v>
      </c>
      <c r="E10" s="23" t="s">
        <v>278</v>
      </c>
      <c r="F10" s="23"/>
    </row>
    <row r="11" spans="1:8" ht="34">
      <c r="A11" s="18" t="s">
        <v>95</v>
      </c>
      <c r="B11" s="18" t="s">
        <v>96</v>
      </c>
      <c r="C11" s="18" t="s">
        <v>97</v>
      </c>
      <c r="D11" s="11" t="s">
        <v>64</v>
      </c>
      <c r="E11" s="23" t="s">
        <v>338</v>
      </c>
      <c r="F11" s="23"/>
    </row>
    <row r="12" spans="1:8" ht="17">
      <c r="A12" s="18" t="s">
        <v>98</v>
      </c>
      <c r="B12" s="18" t="s">
        <v>99</v>
      </c>
      <c r="C12" s="18" t="s">
        <v>100</v>
      </c>
      <c r="D12" s="11" t="s">
        <v>64</v>
      </c>
      <c r="E12" s="23" t="s">
        <v>278</v>
      </c>
      <c r="F12" s="23"/>
    </row>
    <row r="13" spans="1:8" ht="17">
      <c r="A13" s="18" t="s">
        <v>66</v>
      </c>
      <c r="B13" s="18" t="s">
        <v>101</v>
      </c>
      <c r="C13" s="18" t="s">
        <v>102</v>
      </c>
      <c r="D13" s="11" t="s">
        <v>64</v>
      </c>
      <c r="E13" s="23" t="s">
        <v>278</v>
      </c>
      <c r="F13" s="23"/>
    </row>
    <row r="14" spans="1:8" ht="17">
      <c r="A14" s="18" t="s">
        <v>103</v>
      </c>
      <c r="B14" s="18" t="s">
        <v>104</v>
      </c>
      <c r="C14" s="18" t="s">
        <v>105</v>
      </c>
      <c r="D14" s="11" t="s">
        <v>64</v>
      </c>
      <c r="E14" s="23" t="s">
        <v>339</v>
      </c>
      <c r="F14" s="23"/>
    </row>
    <row r="15" spans="1:8" ht="17">
      <c r="A15" s="18" t="s">
        <v>106</v>
      </c>
      <c r="B15" s="18" t="s">
        <v>107</v>
      </c>
      <c r="C15" s="18" t="s">
        <v>108</v>
      </c>
      <c r="D15" s="11" t="s">
        <v>64</v>
      </c>
      <c r="E15" s="23" t="s">
        <v>282</v>
      </c>
      <c r="F15" s="23"/>
    </row>
    <row r="16" spans="1:8" ht="17">
      <c r="A16" s="18" t="s">
        <v>109</v>
      </c>
      <c r="B16" s="18" t="s">
        <v>110</v>
      </c>
      <c r="C16" s="18" t="s">
        <v>111</v>
      </c>
      <c r="D16" s="11" t="s">
        <v>64</v>
      </c>
      <c r="E16" s="23" t="s">
        <v>283</v>
      </c>
      <c r="F16" s="23"/>
    </row>
    <row r="17" spans="1:11" ht="17">
      <c r="A17" s="18" t="s">
        <v>207</v>
      </c>
      <c r="B17" s="18" t="s">
        <v>208</v>
      </c>
      <c r="C17" s="18" t="s">
        <v>209</v>
      </c>
      <c r="D17" s="11" t="s">
        <v>64</v>
      </c>
      <c r="E17" s="23" t="s">
        <v>340</v>
      </c>
      <c r="F17" s="23"/>
    </row>
    <row r="18" spans="1:11" ht="34">
      <c r="A18" s="18" t="s">
        <v>210</v>
      </c>
      <c r="B18" s="18" t="s">
        <v>211</v>
      </c>
      <c r="C18" s="18" t="s">
        <v>212</v>
      </c>
      <c r="D18" s="11" t="s">
        <v>64</v>
      </c>
      <c r="E18" s="23" t="s">
        <v>341</v>
      </c>
      <c r="F18" s="23"/>
    </row>
    <row r="19" spans="1:11" ht="17">
      <c r="A19" s="18" t="s">
        <v>213</v>
      </c>
      <c r="B19" s="18" t="s">
        <v>214</v>
      </c>
      <c r="C19" s="18" t="s">
        <v>215</v>
      </c>
      <c r="D19" s="11" t="s">
        <v>64</v>
      </c>
      <c r="E19" s="23" t="s">
        <v>342</v>
      </c>
      <c r="F19" s="23"/>
    </row>
    <row r="20" spans="1:11" ht="34">
      <c r="A20" s="18" t="s">
        <v>216</v>
      </c>
      <c r="B20" s="18" t="s">
        <v>217</v>
      </c>
      <c r="C20" s="18" t="s">
        <v>218</v>
      </c>
      <c r="D20" s="11" t="s">
        <v>64</v>
      </c>
      <c r="E20" s="23" t="s">
        <v>343</v>
      </c>
      <c r="F20" s="23"/>
    </row>
    <row r="21" spans="1:11" ht="17">
      <c r="A21" s="18" t="s">
        <v>219</v>
      </c>
      <c r="B21" s="18" t="s">
        <v>220</v>
      </c>
      <c r="C21" s="18" t="s">
        <v>221</v>
      </c>
      <c r="D21" s="11" t="s">
        <v>39</v>
      </c>
      <c r="E21" s="23" t="s">
        <v>344</v>
      </c>
      <c r="F21" s="23"/>
    </row>
    <row r="22" spans="1:11" ht="34">
      <c r="A22" s="18" t="s">
        <v>222</v>
      </c>
      <c r="B22" s="18" t="s">
        <v>223</v>
      </c>
      <c r="C22" s="18" t="s">
        <v>224</v>
      </c>
      <c r="D22" s="11" t="s">
        <v>140</v>
      </c>
      <c r="E22" s="23" t="s">
        <v>283</v>
      </c>
      <c r="F22" s="23"/>
    </row>
    <row r="23" spans="1:11" ht="34">
      <c r="A23" s="18" t="s">
        <v>225</v>
      </c>
      <c r="B23" s="18" t="s">
        <v>226</v>
      </c>
      <c r="C23" s="18" t="s">
        <v>227</v>
      </c>
      <c r="D23" s="11" t="s">
        <v>39</v>
      </c>
      <c r="E23" s="23" t="s">
        <v>345</v>
      </c>
      <c r="F23" s="23"/>
    </row>
    <row r="24" spans="1:11" ht="17">
      <c r="A24" s="18" t="s">
        <v>228</v>
      </c>
      <c r="B24" s="18" t="s">
        <v>229</v>
      </c>
      <c r="C24" s="18" t="s">
        <v>230</v>
      </c>
      <c r="D24" s="11" t="s">
        <v>140</v>
      </c>
      <c r="E24" s="23" t="s">
        <v>346</v>
      </c>
      <c r="F24" s="23"/>
    </row>
    <row r="28" spans="1:11" ht="17">
      <c r="A28" s="27" t="s">
        <v>231</v>
      </c>
      <c r="B28" s="27" t="s">
        <v>243</v>
      </c>
      <c r="C28" s="27" t="s">
        <v>244</v>
      </c>
      <c r="D28" s="14" t="s">
        <v>245</v>
      </c>
      <c r="E28" s="14" t="s">
        <v>246</v>
      </c>
      <c r="F28" s="14" t="s">
        <v>59</v>
      </c>
      <c r="G28" s="24" t="s">
        <v>351</v>
      </c>
      <c r="H28" s="10"/>
      <c r="J28" s="7" t="s">
        <v>238</v>
      </c>
      <c r="K28" s="7" t="s">
        <v>239</v>
      </c>
    </row>
    <row r="29" spans="1:11" ht="17">
      <c r="A29" s="18" t="s">
        <v>232</v>
      </c>
      <c r="B29" s="18">
        <v>2</v>
      </c>
      <c r="C29" s="18">
        <v>3</v>
      </c>
      <c r="D29">
        <v>3</v>
      </c>
      <c r="E29">
        <v>3</v>
      </c>
      <c r="F29">
        <f>B29*35%+C29*30%+D29*20%+E29*15%</f>
        <v>2.6500000000000004</v>
      </c>
      <c r="G29" s="25" t="s">
        <v>342</v>
      </c>
      <c r="H29" s="25"/>
      <c r="J29">
        <v>1</v>
      </c>
      <c r="K29" t="s">
        <v>240</v>
      </c>
    </row>
    <row r="30" spans="1:11" ht="17">
      <c r="A30" s="18" t="s">
        <v>233</v>
      </c>
      <c r="B30" s="18">
        <v>5</v>
      </c>
      <c r="C30" s="18">
        <v>5</v>
      </c>
      <c r="D30">
        <v>4</v>
      </c>
      <c r="E30">
        <v>5</v>
      </c>
      <c r="F30">
        <f t="shared" ref="F30:F34" si="0">B30*35%+C30*30%+D30*20%+E30*15%</f>
        <v>4.8</v>
      </c>
      <c r="G30" s="25" t="s">
        <v>347</v>
      </c>
      <c r="H30" s="25"/>
      <c r="J30">
        <v>2</v>
      </c>
      <c r="K30" t="s">
        <v>241</v>
      </c>
    </row>
    <row r="31" spans="1:11" ht="34">
      <c r="A31" s="18" t="s">
        <v>234</v>
      </c>
      <c r="B31" s="18">
        <v>5</v>
      </c>
      <c r="C31" s="18">
        <v>5</v>
      </c>
      <c r="D31">
        <v>3</v>
      </c>
      <c r="E31">
        <v>5</v>
      </c>
      <c r="F31">
        <f t="shared" si="0"/>
        <v>4.5999999999999996</v>
      </c>
      <c r="G31" s="25" t="s">
        <v>348</v>
      </c>
      <c r="H31" s="25"/>
      <c r="J31">
        <v>3</v>
      </c>
      <c r="K31" t="s">
        <v>140</v>
      </c>
    </row>
    <row r="32" spans="1:11" ht="34">
      <c r="A32" s="18" t="s">
        <v>235</v>
      </c>
      <c r="B32" s="18">
        <v>4</v>
      </c>
      <c r="C32" s="18">
        <v>4</v>
      </c>
      <c r="D32">
        <v>4</v>
      </c>
      <c r="E32">
        <v>3</v>
      </c>
      <c r="F32">
        <f t="shared" si="0"/>
        <v>3.8499999999999996</v>
      </c>
      <c r="G32" s="25" t="s">
        <v>342</v>
      </c>
      <c r="H32" s="25"/>
      <c r="J32">
        <v>4</v>
      </c>
      <c r="K32" t="s">
        <v>64</v>
      </c>
    </row>
    <row r="33" spans="1:11" ht="17">
      <c r="A33" s="18" t="s">
        <v>236</v>
      </c>
      <c r="B33" s="18">
        <v>4</v>
      </c>
      <c r="C33" s="18">
        <v>4</v>
      </c>
      <c r="D33">
        <v>4</v>
      </c>
      <c r="E33">
        <v>3</v>
      </c>
      <c r="F33">
        <f t="shared" si="0"/>
        <v>3.8499999999999996</v>
      </c>
      <c r="G33" s="25" t="s">
        <v>349</v>
      </c>
      <c r="H33" s="25"/>
      <c r="J33">
        <v>5</v>
      </c>
      <c r="K33" t="s">
        <v>242</v>
      </c>
    </row>
    <row r="34" spans="1:11" ht="17">
      <c r="A34" s="18" t="s">
        <v>237</v>
      </c>
      <c r="B34" s="18">
        <v>3</v>
      </c>
      <c r="C34" s="18">
        <v>3</v>
      </c>
      <c r="D34">
        <v>4</v>
      </c>
      <c r="E34">
        <v>3</v>
      </c>
      <c r="F34">
        <f t="shared" si="0"/>
        <v>3.2</v>
      </c>
      <c r="G34" s="25" t="s">
        <v>350</v>
      </c>
      <c r="H34" s="25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A80FF-8994-6E41-AF46-DB2196BC0AC9}">
  <dimension ref="A1:I8"/>
  <sheetViews>
    <sheetView topLeftCell="B1" zoomScale="125" workbookViewId="0">
      <selection activeCell="J6" sqref="J6"/>
    </sheetView>
  </sheetViews>
  <sheetFormatPr baseColWidth="10" defaultRowHeight="16"/>
  <cols>
    <col min="1" max="1" width="45" customWidth="1"/>
    <col min="2" max="2" width="18.1640625" customWidth="1"/>
    <col min="3" max="3" width="16.33203125" customWidth="1"/>
    <col min="5" max="5" width="28" customWidth="1"/>
    <col min="7" max="7" width="17.6640625" customWidth="1"/>
    <col min="8" max="8" width="21.6640625" customWidth="1"/>
    <col min="9" max="9" width="21.83203125" customWidth="1"/>
  </cols>
  <sheetData>
    <row r="1" spans="1:9">
      <c r="A1" s="10" t="s">
        <v>112</v>
      </c>
      <c r="B1" s="10" t="s">
        <v>113</v>
      </c>
      <c r="C1" s="10" t="s">
        <v>114</v>
      </c>
      <c r="D1" s="10" t="s">
        <v>115</v>
      </c>
      <c r="E1" s="10" t="s">
        <v>116</v>
      </c>
      <c r="F1" s="10" t="s">
        <v>117</v>
      </c>
      <c r="G1" s="10" t="s">
        <v>118</v>
      </c>
      <c r="H1" s="10" t="s">
        <v>247</v>
      </c>
      <c r="I1" s="24" t="s">
        <v>275</v>
      </c>
    </row>
    <row r="2" spans="1:9">
      <c r="A2" t="s">
        <v>119</v>
      </c>
      <c r="B2" s="12">
        <v>3999</v>
      </c>
      <c r="C2" s="12">
        <v>3900</v>
      </c>
      <c r="D2">
        <v>30</v>
      </c>
      <c r="E2" s="12">
        <f>B2+C2*D2</f>
        <v>120999</v>
      </c>
      <c r="F2" s="12">
        <v>64999</v>
      </c>
      <c r="G2" s="12">
        <v>56000</v>
      </c>
      <c r="H2" s="15">
        <f>IF(ISNUMBER(F2),G2/F2,"N/A")</f>
        <v>0.86155171618024895</v>
      </c>
      <c r="I2" s="23" t="s">
        <v>276</v>
      </c>
    </row>
    <row r="3" spans="1:9">
      <c r="A3" t="s">
        <v>120</v>
      </c>
      <c r="B3" s="12">
        <v>5199</v>
      </c>
      <c r="C3" s="12">
        <v>4900</v>
      </c>
      <c r="D3">
        <v>30</v>
      </c>
      <c r="E3" s="12">
        <f t="shared" ref="E3:E8" si="0">B3+C3*D3</f>
        <v>152199</v>
      </c>
      <c r="F3" s="12">
        <v>81999</v>
      </c>
      <c r="G3" s="12">
        <v>70200</v>
      </c>
      <c r="H3" s="15">
        <f t="shared" ref="H3:H8" si="1">IF(ISNUMBER(F3),G3/F3,"N/A")</f>
        <v>0.8561080013170892</v>
      </c>
      <c r="I3" s="23" t="s">
        <v>276</v>
      </c>
    </row>
    <row r="4" spans="1:9">
      <c r="A4" t="s">
        <v>121</v>
      </c>
      <c r="B4" s="12">
        <v>5199</v>
      </c>
      <c r="C4" s="12">
        <v>4900</v>
      </c>
      <c r="D4">
        <v>30</v>
      </c>
      <c r="E4" s="12">
        <f t="shared" si="0"/>
        <v>152199</v>
      </c>
      <c r="F4" s="12">
        <v>77999</v>
      </c>
      <c r="G4" s="12">
        <v>74200</v>
      </c>
      <c r="H4" s="15">
        <f t="shared" si="1"/>
        <v>0.95129424736214563</v>
      </c>
      <c r="I4" s="23" t="s">
        <v>276</v>
      </c>
    </row>
    <row r="5" spans="1:9">
      <c r="A5" t="s">
        <v>122</v>
      </c>
      <c r="B5" s="12">
        <v>4899</v>
      </c>
      <c r="C5" s="12">
        <v>4900</v>
      </c>
      <c r="D5">
        <v>24</v>
      </c>
      <c r="E5" s="12">
        <f t="shared" si="0"/>
        <v>122499</v>
      </c>
      <c r="F5" s="11" t="s">
        <v>123</v>
      </c>
      <c r="G5" s="11" t="s">
        <v>123</v>
      </c>
      <c r="H5" s="11" t="str">
        <f t="shared" si="1"/>
        <v>N/A</v>
      </c>
      <c r="I5" s="23" t="s">
        <v>276</v>
      </c>
    </row>
    <row r="6" spans="1:9">
      <c r="A6" t="s">
        <v>124</v>
      </c>
      <c r="B6" s="12">
        <v>8099</v>
      </c>
      <c r="C6" s="12">
        <v>5900</v>
      </c>
      <c r="D6">
        <v>36</v>
      </c>
      <c r="E6" s="12">
        <f t="shared" si="0"/>
        <v>220499</v>
      </c>
      <c r="F6" s="11" t="s">
        <v>123</v>
      </c>
      <c r="G6" s="11" t="s">
        <v>123</v>
      </c>
      <c r="H6" s="11" t="str">
        <f t="shared" si="1"/>
        <v>N/A</v>
      </c>
      <c r="I6" s="23" t="s">
        <v>276</v>
      </c>
    </row>
    <row r="7" spans="1:9">
      <c r="A7" t="s">
        <v>125</v>
      </c>
      <c r="B7" s="12">
        <v>8099</v>
      </c>
      <c r="C7" s="12">
        <v>5900</v>
      </c>
      <c r="D7">
        <v>36</v>
      </c>
      <c r="E7" s="12">
        <f t="shared" si="0"/>
        <v>220499</v>
      </c>
      <c r="F7" s="11" t="s">
        <v>123</v>
      </c>
      <c r="G7" s="11" t="s">
        <v>123</v>
      </c>
      <c r="H7" s="11" t="str">
        <f t="shared" si="1"/>
        <v>N/A</v>
      </c>
      <c r="I7" s="23" t="s">
        <v>276</v>
      </c>
    </row>
    <row r="8" spans="1:9">
      <c r="A8" t="s">
        <v>126</v>
      </c>
      <c r="B8" s="12">
        <v>5199</v>
      </c>
      <c r="C8" s="12">
        <v>4900</v>
      </c>
      <c r="D8">
        <v>30</v>
      </c>
      <c r="E8" s="12">
        <f t="shared" si="0"/>
        <v>152199</v>
      </c>
      <c r="F8" s="11" t="s">
        <v>123</v>
      </c>
      <c r="G8" s="11" t="s">
        <v>123</v>
      </c>
      <c r="H8" s="11" t="str">
        <f t="shared" si="1"/>
        <v>N/A</v>
      </c>
      <c r="I8" s="23" t="s">
        <v>276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BA400-AC98-A246-9E94-C964F8340628}">
  <dimension ref="A1:F27"/>
  <sheetViews>
    <sheetView tabSelected="1" zoomScale="80" workbookViewId="0">
      <selection activeCell="C20" sqref="C20"/>
    </sheetView>
  </sheetViews>
  <sheetFormatPr baseColWidth="10" defaultRowHeight="16"/>
  <cols>
    <col min="1" max="1" width="31" customWidth="1"/>
    <col min="2" max="2" width="73" customWidth="1"/>
    <col min="3" max="3" width="49" style="18" customWidth="1"/>
    <col min="4" max="4" width="62.6640625" style="18" customWidth="1"/>
    <col min="5" max="5" width="21.1640625" customWidth="1"/>
    <col min="6" max="6" width="21.6640625" customWidth="1"/>
  </cols>
  <sheetData>
    <row r="1" spans="1:6" s="13" customFormat="1" ht="20">
      <c r="A1" s="9" t="s">
        <v>127</v>
      </c>
      <c r="B1" s="9" t="s">
        <v>128</v>
      </c>
      <c r="C1" s="26" t="s">
        <v>129</v>
      </c>
      <c r="D1" s="26" t="s">
        <v>130</v>
      </c>
      <c r="E1" s="9" t="s">
        <v>131</v>
      </c>
      <c r="F1" s="9" t="s">
        <v>351</v>
      </c>
    </row>
    <row r="2" spans="1:6" ht="34">
      <c r="A2" t="s">
        <v>132</v>
      </c>
      <c r="B2" s="18" t="s">
        <v>133</v>
      </c>
      <c r="C2" s="18" t="s">
        <v>134</v>
      </c>
      <c r="D2" s="18" t="s">
        <v>135</v>
      </c>
      <c r="E2" s="11" t="s">
        <v>64</v>
      </c>
      <c r="F2" s="23" t="s">
        <v>352</v>
      </c>
    </row>
    <row r="3" spans="1:6" ht="17">
      <c r="A3" t="s">
        <v>136</v>
      </c>
      <c r="B3" s="18" t="s">
        <v>137</v>
      </c>
      <c r="C3" s="18" t="s">
        <v>138</v>
      </c>
      <c r="D3" s="18" t="s">
        <v>139</v>
      </c>
      <c r="E3" s="11" t="s">
        <v>140</v>
      </c>
      <c r="F3" s="23" t="s">
        <v>352</v>
      </c>
    </row>
    <row r="4" spans="1:6" ht="34">
      <c r="A4" t="s">
        <v>141</v>
      </c>
      <c r="B4" s="18" t="s">
        <v>142</v>
      </c>
      <c r="C4" s="18" t="s">
        <v>143</v>
      </c>
      <c r="D4" s="18" t="s">
        <v>144</v>
      </c>
      <c r="E4" s="11" t="s">
        <v>140</v>
      </c>
      <c r="F4" s="23" t="s">
        <v>352</v>
      </c>
    </row>
    <row r="5" spans="1:6" ht="17">
      <c r="A5" t="s">
        <v>145</v>
      </c>
      <c r="B5" s="18" t="s">
        <v>146</v>
      </c>
      <c r="C5" s="18" t="s">
        <v>147</v>
      </c>
      <c r="D5" s="18" t="s">
        <v>148</v>
      </c>
      <c r="E5" s="11" t="s">
        <v>64</v>
      </c>
      <c r="F5" s="23" t="s">
        <v>353</v>
      </c>
    </row>
    <row r="6" spans="1:6" ht="34">
      <c r="A6" t="s">
        <v>149</v>
      </c>
      <c r="B6" s="18" t="s">
        <v>150</v>
      </c>
      <c r="C6" s="18" t="s">
        <v>151</v>
      </c>
      <c r="D6" s="18" t="s">
        <v>152</v>
      </c>
      <c r="E6" s="11" t="s">
        <v>64</v>
      </c>
      <c r="F6" s="23" t="s">
        <v>353</v>
      </c>
    </row>
    <row r="7" spans="1:6" ht="34">
      <c r="A7" t="s">
        <v>153</v>
      </c>
      <c r="B7" s="18" t="s">
        <v>154</v>
      </c>
      <c r="C7" s="18" t="s">
        <v>155</v>
      </c>
      <c r="D7" s="18" t="s">
        <v>156</v>
      </c>
      <c r="E7" s="11" t="s">
        <v>140</v>
      </c>
      <c r="F7" s="23" t="s">
        <v>352</v>
      </c>
    </row>
    <row r="8" spans="1:6" ht="17">
      <c r="A8" t="s">
        <v>157</v>
      </c>
      <c r="B8" s="18" t="s">
        <v>158</v>
      </c>
      <c r="C8" s="18" t="s">
        <v>159</v>
      </c>
      <c r="D8" s="18" t="s">
        <v>160</v>
      </c>
      <c r="E8" s="11" t="s">
        <v>140</v>
      </c>
      <c r="F8" s="23" t="s">
        <v>276</v>
      </c>
    </row>
    <row r="9" spans="1:6" ht="34">
      <c r="A9" t="s">
        <v>161</v>
      </c>
      <c r="B9" s="18" t="s">
        <v>162</v>
      </c>
      <c r="C9" s="18" t="s">
        <v>163</v>
      </c>
      <c r="D9" s="18" t="s">
        <v>164</v>
      </c>
      <c r="E9" s="11" t="s">
        <v>165</v>
      </c>
      <c r="F9" s="23" t="s">
        <v>276</v>
      </c>
    </row>
    <row r="10" spans="1:6" ht="34">
      <c r="A10" t="s">
        <v>166</v>
      </c>
      <c r="B10" s="18" t="s">
        <v>167</v>
      </c>
      <c r="C10" s="18" t="s">
        <v>168</v>
      </c>
      <c r="D10" s="18" t="s">
        <v>169</v>
      </c>
      <c r="E10" s="11" t="s">
        <v>170</v>
      </c>
      <c r="F10" s="23" t="s">
        <v>285</v>
      </c>
    </row>
    <row r="11" spans="1:6" ht="17">
      <c r="A11" t="s">
        <v>171</v>
      </c>
      <c r="B11" s="18" t="s">
        <v>172</v>
      </c>
      <c r="C11" s="18" t="s">
        <v>173</v>
      </c>
      <c r="D11" s="18" t="s">
        <v>174</v>
      </c>
      <c r="E11" s="11" t="s">
        <v>64</v>
      </c>
      <c r="F11" s="23" t="s">
        <v>276</v>
      </c>
    </row>
    <row r="12" spans="1:6" ht="34">
      <c r="A12" t="s">
        <v>175</v>
      </c>
      <c r="B12" s="18" t="s">
        <v>176</v>
      </c>
      <c r="C12" s="18" t="s">
        <v>177</v>
      </c>
      <c r="D12" s="18" t="s">
        <v>178</v>
      </c>
      <c r="E12" s="11" t="s">
        <v>140</v>
      </c>
      <c r="F12" s="23" t="s">
        <v>276</v>
      </c>
    </row>
    <row r="13" spans="1:6" ht="34">
      <c r="A13" t="s">
        <v>179</v>
      </c>
      <c r="B13" s="18" t="s">
        <v>180</v>
      </c>
      <c r="C13" s="18" t="s">
        <v>181</v>
      </c>
      <c r="D13" s="18" t="s">
        <v>182</v>
      </c>
      <c r="E13" s="11" t="s">
        <v>64</v>
      </c>
      <c r="F13" s="23" t="s">
        <v>353</v>
      </c>
    </row>
    <row r="14" spans="1:6" ht="34">
      <c r="A14" t="s">
        <v>183</v>
      </c>
      <c r="B14" s="18" t="s">
        <v>184</v>
      </c>
      <c r="C14" s="18" t="s">
        <v>185</v>
      </c>
      <c r="D14" s="18" t="s">
        <v>186</v>
      </c>
      <c r="E14" s="11" t="s">
        <v>64</v>
      </c>
      <c r="F14" s="23" t="s">
        <v>354</v>
      </c>
    </row>
    <row r="15" spans="1:6" ht="34">
      <c r="A15" t="s">
        <v>187</v>
      </c>
      <c r="B15" s="18" t="s">
        <v>188</v>
      </c>
      <c r="C15" s="18" t="s">
        <v>189</v>
      </c>
      <c r="D15" s="18" t="s">
        <v>190</v>
      </c>
      <c r="E15" s="11" t="s">
        <v>39</v>
      </c>
      <c r="F15" s="23" t="s">
        <v>355</v>
      </c>
    </row>
    <row r="16" spans="1:6" ht="34">
      <c r="A16" t="s">
        <v>191</v>
      </c>
      <c r="B16" s="18" t="s">
        <v>192</v>
      </c>
      <c r="C16" s="18" t="s">
        <v>193</v>
      </c>
      <c r="D16" s="18" t="s">
        <v>194</v>
      </c>
      <c r="E16" s="11" t="s">
        <v>39</v>
      </c>
      <c r="F16" s="23" t="s">
        <v>352</v>
      </c>
    </row>
    <row r="17" spans="1:6" ht="34">
      <c r="A17" t="s">
        <v>195</v>
      </c>
      <c r="B17" s="18" t="s">
        <v>196</v>
      </c>
      <c r="C17" s="18" t="s">
        <v>197</v>
      </c>
      <c r="D17" s="18" t="s">
        <v>198</v>
      </c>
      <c r="E17" s="11" t="s">
        <v>39</v>
      </c>
      <c r="F17" s="23" t="s">
        <v>356</v>
      </c>
    </row>
    <row r="18" spans="1:6" ht="34">
      <c r="A18" t="s">
        <v>199</v>
      </c>
      <c r="B18" s="18" t="s">
        <v>200</v>
      </c>
      <c r="C18" s="18" t="s">
        <v>201</v>
      </c>
      <c r="D18" s="18" t="s">
        <v>202</v>
      </c>
      <c r="E18" s="11" t="s">
        <v>203</v>
      </c>
      <c r="F18" s="23" t="s">
        <v>357</v>
      </c>
    </row>
    <row r="21" spans="1:6" ht="17">
      <c r="A21" s="14" t="s">
        <v>248</v>
      </c>
      <c r="B21" s="14" t="s">
        <v>249</v>
      </c>
      <c r="C21" s="27" t="s">
        <v>250</v>
      </c>
      <c r="D21" s="27" t="s">
        <v>251</v>
      </c>
      <c r="E21" s="24" t="s">
        <v>360</v>
      </c>
      <c r="F21" s="23"/>
    </row>
    <row r="22" spans="1:6" ht="17">
      <c r="A22" t="s">
        <v>252</v>
      </c>
      <c r="B22" t="s">
        <v>253</v>
      </c>
      <c r="C22" s="18" t="s">
        <v>254</v>
      </c>
      <c r="D22" s="18" t="s">
        <v>255</v>
      </c>
      <c r="E22" s="23" t="s">
        <v>358</v>
      </c>
      <c r="F22" s="23"/>
    </row>
    <row r="23" spans="1:6" ht="17">
      <c r="A23" t="s">
        <v>256</v>
      </c>
      <c r="B23" t="s">
        <v>257</v>
      </c>
      <c r="C23" s="18" t="s">
        <v>258</v>
      </c>
      <c r="D23" s="18" t="s">
        <v>255</v>
      </c>
      <c r="E23" s="23" t="s">
        <v>349</v>
      </c>
      <c r="F23" s="23"/>
    </row>
    <row r="24" spans="1:6" ht="17">
      <c r="A24" t="s">
        <v>259</v>
      </c>
      <c r="B24" t="s">
        <v>260</v>
      </c>
      <c r="C24" s="18" t="s">
        <v>261</v>
      </c>
      <c r="D24" s="18" t="s">
        <v>262</v>
      </c>
      <c r="E24" s="23" t="s">
        <v>353</v>
      </c>
      <c r="F24" s="23"/>
    </row>
    <row r="25" spans="1:6" ht="17">
      <c r="A25" t="s">
        <v>263</v>
      </c>
      <c r="B25" t="s">
        <v>264</v>
      </c>
      <c r="C25" s="18" t="s">
        <v>265</v>
      </c>
      <c r="D25" s="18" t="s">
        <v>266</v>
      </c>
      <c r="E25" s="23" t="s">
        <v>342</v>
      </c>
      <c r="F25" s="23"/>
    </row>
    <row r="26" spans="1:6" ht="17">
      <c r="A26" t="s">
        <v>267</v>
      </c>
      <c r="B26" t="s">
        <v>268</v>
      </c>
      <c r="C26" s="18" t="s">
        <v>269</v>
      </c>
      <c r="D26" s="18" t="s">
        <v>270</v>
      </c>
      <c r="E26" s="23" t="s">
        <v>352</v>
      </c>
      <c r="F26" s="23"/>
    </row>
    <row r="27" spans="1:6" ht="17">
      <c r="A27" t="s">
        <v>271</v>
      </c>
      <c r="B27" t="s">
        <v>272</v>
      </c>
      <c r="C27" s="18" t="s">
        <v>273</v>
      </c>
      <c r="D27" s="18" t="s">
        <v>274</v>
      </c>
      <c r="E27" s="23" t="s">
        <v>359</v>
      </c>
      <c r="F27" s="23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315AF-3F93-0E4D-8BF7-A9FF93D2A041}">
  <dimension ref="A1:D7"/>
  <sheetViews>
    <sheetView workbookViewId="0">
      <selection activeCell="J10" sqref="J10"/>
    </sheetView>
  </sheetViews>
  <sheetFormatPr baseColWidth="10" defaultRowHeight="16"/>
  <cols>
    <col min="1" max="1" width="21.6640625" customWidth="1"/>
    <col min="2" max="2" width="30.5" customWidth="1"/>
    <col min="3" max="3" width="32.1640625" customWidth="1"/>
    <col min="4" max="4" width="21.83203125" customWidth="1"/>
  </cols>
  <sheetData>
    <row r="1" spans="1:4" ht="22">
      <c r="A1" s="37" t="s">
        <v>365</v>
      </c>
      <c r="B1" s="37"/>
      <c r="C1" s="37"/>
      <c r="D1" s="37"/>
    </row>
    <row r="2" spans="1:4" ht="40">
      <c r="A2" s="28" t="s">
        <v>361</v>
      </c>
      <c r="B2" s="28" t="s">
        <v>362</v>
      </c>
      <c r="C2" s="29" t="s">
        <v>363</v>
      </c>
      <c r="D2" s="29" t="s">
        <v>364</v>
      </c>
    </row>
    <row r="3" spans="1:4" ht="119">
      <c r="A3" s="10" t="s">
        <v>366</v>
      </c>
      <c r="B3" s="30" t="s">
        <v>368</v>
      </c>
      <c r="C3" s="30" t="s">
        <v>370</v>
      </c>
      <c r="D3" s="30" t="s">
        <v>373</v>
      </c>
    </row>
    <row r="4" spans="1:4" ht="102">
      <c r="A4" s="31" t="s">
        <v>367</v>
      </c>
      <c r="B4" s="30" t="s">
        <v>369</v>
      </c>
      <c r="C4" s="30" t="s">
        <v>371</v>
      </c>
      <c r="D4" s="32" t="s">
        <v>372</v>
      </c>
    </row>
    <row r="7" spans="1:4">
      <c r="C7" t="s">
        <v>374</v>
      </c>
    </row>
  </sheetData>
  <mergeCells count="1">
    <mergeCell ref="A1:D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D13AA-AFDC-A148-B82F-0431DE767F4D}">
  <dimension ref="A1:C119"/>
  <sheetViews>
    <sheetView topLeftCell="A10" workbookViewId="0">
      <selection activeCell="H16" sqref="H16"/>
    </sheetView>
  </sheetViews>
  <sheetFormatPr baseColWidth="10" defaultRowHeight="16"/>
  <cols>
    <col min="1" max="1" width="16.33203125" style="10" customWidth="1"/>
    <col min="2" max="2" width="44" style="19" customWidth="1"/>
    <col min="3" max="3" width="64" style="17" customWidth="1"/>
  </cols>
  <sheetData>
    <row r="1" spans="1:3" s="16" customFormat="1" ht="17">
      <c r="A1" s="40" t="s">
        <v>280</v>
      </c>
      <c r="B1" s="40" t="s">
        <v>275</v>
      </c>
      <c r="C1" s="40" t="s">
        <v>298</v>
      </c>
    </row>
    <row r="2" spans="1:3" ht="17">
      <c r="A2" s="41" t="s">
        <v>276</v>
      </c>
      <c r="B2" s="42" t="s">
        <v>277</v>
      </c>
      <c r="C2" s="43" t="s">
        <v>317</v>
      </c>
    </row>
    <row r="3" spans="1:3" ht="34">
      <c r="A3" s="41" t="s">
        <v>278</v>
      </c>
      <c r="B3" s="42" t="s">
        <v>318</v>
      </c>
      <c r="C3" s="44" t="s">
        <v>299</v>
      </c>
    </row>
    <row r="4" spans="1:3" ht="34">
      <c r="A4" s="41" t="s">
        <v>279</v>
      </c>
      <c r="B4" s="42" t="s">
        <v>319</v>
      </c>
      <c r="C4" s="44" t="s">
        <v>300</v>
      </c>
    </row>
    <row r="5" spans="1:3" ht="17">
      <c r="A5" s="41" t="s">
        <v>281</v>
      </c>
      <c r="B5" s="42" t="s">
        <v>320</v>
      </c>
      <c r="C5" s="44" t="s">
        <v>301</v>
      </c>
    </row>
    <row r="6" spans="1:3" ht="17">
      <c r="A6" s="41" t="s">
        <v>282</v>
      </c>
      <c r="B6" s="42" t="s">
        <v>321</v>
      </c>
      <c r="C6" s="44" t="s">
        <v>302</v>
      </c>
    </row>
    <row r="7" spans="1:3" ht="17">
      <c r="A7" s="41" t="s">
        <v>283</v>
      </c>
      <c r="B7" s="42" t="s">
        <v>322</v>
      </c>
      <c r="C7" s="44" t="s">
        <v>303</v>
      </c>
    </row>
    <row r="8" spans="1:3" ht="17">
      <c r="A8" s="41" t="s">
        <v>284</v>
      </c>
      <c r="B8" s="42" t="s">
        <v>323</v>
      </c>
      <c r="C8" s="44" t="s">
        <v>304</v>
      </c>
    </row>
    <row r="9" spans="1:3" ht="17">
      <c r="A9" s="41" t="s">
        <v>285</v>
      </c>
      <c r="B9" s="42" t="s">
        <v>324</v>
      </c>
      <c r="C9" s="44" t="s">
        <v>305</v>
      </c>
    </row>
    <row r="10" spans="1:3" ht="34">
      <c r="A10" s="41" t="s">
        <v>286</v>
      </c>
      <c r="B10" s="42" t="s">
        <v>325</v>
      </c>
      <c r="C10" s="44" t="s">
        <v>306</v>
      </c>
    </row>
    <row r="11" spans="1:3" ht="34">
      <c r="A11" s="41" t="s">
        <v>287</v>
      </c>
      <c r="B11" s="42" t="s">
        <v>326</v>
      </c>
      <c r="C11" s="44" t="s">
        <v>307</v>
      </c>
    </row>
    <row r="12" spans="1:3" ht="34">
      <c r="A12" s="41" t="s">
        <v>288</v>
      </c>
      <c r="B12" s="42" t="s">
        <v>327</v>
      </c>
      <c r="C12" s="44" t="s">
        <v>308</v>
      </c>
    </row>
    <row r="13" spans="1:3" ht="34">
      <c r="A13" s="41" t="s">
        <v>289</v>
      </c>
      <c r="B13" s="42" t="s">
        <v>328</v>
      </c>
      <c r="C13" s="44" t="s">
        <v>52</v>
      </c>
    </row>
    <row r="14" spans="1:3" ht="17">
      <c r="A14" s="41" t="s">
        <v>290</v>
      </c>
      <c r="B14" s="42" t="s">
        <v>329</v>
      </c>
      <c r="C14" s="44" t="s">
        <v>309</v>
      </c>
    </row>
    <row r="15" spans="1:3" ht="34">
      <c r="A15" s="41" t="s">
        <v>291</v>
      </c>
      <c r="B15" s="42" t="s">
        <v>330</v>
      </c>
      <c r="C15" s="44" t="s">
        <v>310</v>
      </c>
    </row>
    <row r="16" spans="1:3" ht="51">
      <c r="A16" s="41" t="s">
        <v>292</v>
      </c>
      <c r="B16" s="42" t="s">
        <v>331</v>
      </c>
      <c r="C16" s="44" t="s">
        <v>311</v>
      </c>
    </row>
    <row r="17" spans="1:3" ht="34">
      <c r="A17" s="41" t="s">
        <v>293</v>
      </c>
      <c r="B17" s="42" t="s">
        <v>332</v>
      </c>
      <c r="C17" s="44" t="s">
        <v>312</v>
      </c>
    </row>
    <row r="18" spans="1:3" ht="34">
      <c r="A18" s="41" t="s">
        <v>294</v>
      </c>
      <c r="B18" s="42" t="s">
        <v>333</v>
      </c>
      <c r="C18" s="44" t="s">
        <v>313</v>
      </c>
    </row>
    <row r="19" spans="1:3" ht="34">
      <c r="A19" s="41" t="s">
        <v>295</v>
      </c>
      <c r="B19" s="42" t="s">
        <v>334</v>
      </c>
      <c r="C19" s="44" t="s">
        <v>314</v>
      </c>
    </row>
    <row r="20" spans="1:3" ht="34">
      <c r="A20" s="41" t="s">
        <v>296</v>
      </c>
      <c r="B20" s="42" t="s">
        <v>335</v>
      </c>
      <c r="C20" s="44" t="s">
        <v>315</v>
      </c>
    </row>
    <row r="21" spans="1:3" ht="34">
      <c r="A21" s="41" t="s">
        <v>297</v>
      </c>
      <c r="B21" s="42" t="s">
        <v>336</v>
      </c>
      <c r="C21" s="44" t="s">
        <v>316</v>
      </c>
    </row>
    <row r="22" spans="1:3" ht="17">
      <c r="A22" s="41" t="s">
        <v>382</v>
      </c>
      <c r="B22" s="42" t="s">
        <v>388</v>
      </c>
      <c r="C22" s="45" t="s">
        <v>380</v>
      </c>
    </row>
    <row r="23" spans="1:3" ht="34">
      <c r="A23" s="41" t="s">
        <v>383</v>
      </c>
      <c r="B23" s="42" t="s">
        <v>389</v>
      </c>
      <c r="C23" s="46" t="s">
        <v>379</v>
      </c>
    </row>
    <row r="24" spans="1:3" ht="17">
      <c r="A24" s="41" t="s">
        <v>384</v>
      </c>
      <c r="B24" s="47" t="s">
        <v>390</v>
      </c>
      <c r="C24" s="45" t="s">
        <v>381</v>
      </c>
    </row>
    <row r="25" spans="1:3" ht="34">
      <c r="A25" s="41" t="s">
        <v>386</v>
      </c>
      <c r="B25" s="42" t="s">
        <v>391</v>
      </c>
      <c r="C25" s="44" t="s">
        <v>385</v>
      </c>
    </row>
    <row r="26" spans="1:3" ht="34">
      <c r="A26" s="41" t="s">
        <v>387</v>
      </c>
      <c r="B26" s="42" t="s">
        <v>394</v>
      </c>
      <c r="C26" s="39" t="s">
        <v>393</v>
      </c>
    </row>
    <row r="27" spans="1:3">
      <c r="A27" s="41"/>
      <c r="B27" s="42"/>
      <c r="C27" s="43"/>
    </row>
    <row r="28" spans="1:3">
      <c r="A28" s="41"/>
      <c r="B28" s="42"/>
      <c r="C28" s="43"/>
    </row>
    <row r="29" spans="1:3">
      <c r="A29" s="41"/>
      <c r="B29" s="42"/>
      <c r="C29" s="43"/>
    </row>
    <row r="30" spans="1:3">
      <c r="A30" s="41"/>
      <c r="B30" s="42"/>
      <c r="C30" s="43"/>
    </row>
    <row r="31" spans="1:3">
      <c r="A31" s="41"/>
      <c r="B31" s="42"/>
      <c r="C31" s="43"/>
    </row>
    <row r="32" spans="1:3">
      <c r="A32" s="41"/>
      <c r="B32" s="42"/>
      <c r="C32" s="43"/>
    </row>
    <row r="33" spans="1:3">
      <c r="A33" s="41"/>
      <c r="B33" s="42"/>
      <c r="C33" s="43"/>
    </row>
    <row r="34" spans="1:3">
      <c r="A34" s="41"/>
      <c r="B34" s="42"/>
      <c r="C34" s="43"/>
    </row>
    <row r="35" spans="1:3">
      <c r="A35" s="41"/>
      <c r="B35" s="42"/>
      <c r="C35" s="43"/>
    </row>
    <row r="36" spans="1:3">
      <c r="A36" s="41"/>
      <c r="B36" s="42"/>
      <c r="C36" s="43"/>
    </row>
    <row r="37" spans="1:3">
      <c r="A37" s="41"/>
      <c r="B37" s="42"/>
      <c r="C37" s="43"/>
    </row>
    <row r="38" spans="1:3">
      <c r="A38" s="41"/>
      <c r="B38" s="42"/>
      <c r="C38" s="43"/>
    </row>
    <row r="39" spans="1:3">
      <c r="A39" s="41"/>
      <c r="B39" s="42"/>
      <c r="C39" s="43"/>
    </row>
    <row r="40" spans="1:3">
      <c r="A40" s="41"/>
      <c r="B40" s="42"/>
      <c r="C40" s="43"/>
    </row>
    <row r="41" spans="1:3">
      <c r="A41" s="22"/>
      <c r="B41" s="21"/>
      <c r="C41" s="20"/>
    </row>
    <row r="42" spans="1:3">
      <c r="A42" s="22"/>
      <c r="B42" s="21"/>
      <c r="C42" s="20"/>
    </row>
    <row r="43" spans="1:3">
      <c r="A43" s="22"/>
      <c r="B43" s="21"/>
      <c r="C43" s="20"/>
    </row>
    <row r="44" spans="1:3">
      <c r="A44" s="22"/>
      <c r="B44" s="21"/>
      <c r="C44" s="20"/>
    </row>
    <row r="45" spans="1:3">
      <c r="A45" s="22"/>
      <c r="B45" s="21"/>
      <c r="C45" s="20"/>
    </row>
    <row r="46" spans="1:3">
      <c r="A46" s="22"/>
      <c r="B46" s="21"/>
      <c r="C46" s="20"/>
    </row>
    <row r="47" spans="1:3">
      <c r="A47" s="22"/>
      <c r="B47" s="21"/>
      <c r="C47" s="20"/>
    </row>
    <row r="48" spans="1:3">
      <c r="A48" s="22"/>
      <c r="B48" s="21"/>
      <c r="C48" s="20"/>
    </row>
    <row r="49" spans="1:3">
      <c r="A49" s="22"/>
      <c r="B49" s="21"/>
      <c r="C49" s="20"/>
    </row>
    <row r="50" spans="1:3">
      <c r="A50" s="22"/>
      <c r="B50" s="21"/>
      <c r="C50" s="20"/>
    </row>
    <row r="51" spans="1:3">
      <c r="A51" s="22"/>
      <c r="B51" s="21"/>
      <c r="C51" s="20"/>
    </row>
    <row r="52" spans="1:3">
      <c r="A52" s="22"/>
      <c r="B52" s="21"/>
      <c r="C52" s="20"/>
    </row>
    <row r="53" spans="1:3">
      <c r="A53" s="22"/>
      <c r="B53" s="21"/>
      <c r="C53" s="20"/>
    </row>
    <row r="54" spans="1:3">
      <c r="A54" s="22"/>
      <c r="B54" s="21"/>
      <c r="C54" s="20"/>
    </row>
    <row r="55" spans="1:3">
      <c r="A55" s="22"/>
      <c r="B55" s="21"/>
      <c r="C55" s="20"/>
    </row>
    <row r="56" spans="1:3">
      <c r="A56" s="22"/>
      <c r="B56" s="21"/>
      <c r="C56" s="20"/>
    </row>
    <row r="57" spans="1:3">
      <c r="A57" s="22"/>
      <c r="B57" s="21"/>
      <c r="C57" s="20"/>
    </row>
    <row r="58" spans="1:3">
      <c r="A58" s="22"/>
      <c r="B58" s="21"/>
      <c r="C58" s="20"/>
    </row>
    <row r="59" spans="1:3">
      <c r="A59" s="22"/>
      <c r="B59" s="21"/>
      <c r="C59" s="20"/>
    </row>
    <row r="60" spans="1:3">
      <c r="A60" s="22"/>
      <c r="B60" s="21"/>
      <c r="C60" s="20"/>
    </row>
    <row r="61" spans="1:3">
      <c r="A61" s="22"/>
      <c r="B61" s="21"/>
      <c r="C61" s="20"/>
    </row>
    <row r="62" spans="1:3">
      <c r="A62" s="22"/>
      <c r="B62" s="21"/>
      <c r="C62" s="20"/>
    </row>
    <row r="63" spans="1:3">
      <c r="A63" s="22"/>
      <c r="B63" s="21"/>
      <c r="C63" s="20"/>
    </row>
    <row r="64" spans="1:3">
      <c r="A64" s="22"/>
      <c r="B64" s="21"/>
      <c r="C64" s="20"/>
    </row>
    <row r="65" spans="1:3">
      <c r="A65" s="22"/>
      <c r="B65" s="21"/>
      <c r="C65" s="20"/>
    </row>
    <row r="66" spans="1:3">
      <c r="A66" s="22"/>
      <c r="B66" s="21"/>
      <c r="C66" s="20"/>
    </row>
    <row r="67" spans="1:3">
      <c r="A67" s="22"/>
      <c r="B67" s="21"/>
      <c r="C67" s="20"/>
    </row>
    <row r="68" spans="1:3">
      <c r="A68" s="22"/>
      <c r="B68" s="21"/>
      <c r="C68" s="20"/>
    </row>
    <row r="69" spans="1:3">
      <c r="A69" s="22"/>
      <c r="B69" s="21"/>
      <c r="C69" s="20"/>
    </row>
    <row r="70" spans="1:3">
      <c r="A70" s="22"/>
      <c r="B70" s="21"/>
      <c r="C70" s="20"/>
    </row>
    <row r="71" spans="1:3">
      <c r="A71" s="22"/>
      <c r="B71" s="21"/>
      <c r="C71" s="20"/>
    </row>
    <row r="72" spans="1:3">
      <c r="A72" s="22"/>
      <c r="B72" s="21"/>
      <c r="C72" s="20"/>
    </row>
    <row r="73" spans="1:3">
      <c r="A73" s="22"/>
      <c r="B73" s="21"/>
      <c r="C73" s="20"/>
    </row>
    <row r="74" spans="1:3">
      <c r="A74" s="22"/>
      <c r="B74" s="21"/>
      <c r="C74" s="20"/>
    </row>
    <row r="75" spans="1:3">
      <c r="A75" s="22"/>
      <c r="B75" s="21"/>
      <c r="C75" s="20"/>
    </row>
    <row r="76" spans="1:3">
      <c r="A76" s="22"/>
      <c r="B76" s="21"/>
      <c r="C76" s="20"/>
    </row>
    <row r="77" spans="1:3">
      <c r="A77" s="22"/>
      <c r="B77" s="21"/>
      <c r="C77" s="20"/>
    </row>
    <row r="78" spans="1:3">
      <c r="A78" s="22"/>
      <c r="B78" s="21"/>
      <c r="C78" s="20"/>
    </row>
    <row r="79" spans="1:3">
      <c r="A79" s="22"/>
      <c r="B79" s="21"/>
      <c r="C79" s="20"/>
    </row>
    <row r="80" spans="1:3">
      <c r="A80" s="22"/>
      <c r="B80" s="21"/>
      <c r="C80" s="20"/>
    </row>
    <row r="81" spans="1:3">
      <c r="A81" s="22"/>
      <c r="B81" s="21"/>
      <c r="C81" s="20"/>
    </row>
    <row r="82" spans="1:3">
      <c r="A82" s="22"/>
      <c r="B82" s="21"/>
      <c r="C82" s="20"/>
    </row>
    <row r="83" spans="1:3">
      <c r="A83" s="22"/>
      <c r="B83" s="21"/>
      <c r="C83" s="20"/>
    </row>
    <row r="84" spans="1:3">
      <c r="A84" s="22"/>
      <c r="B84" s="21"/>
      <c r="C84" s="20"/>
    </row>
    <row r="85" spans="1:3">
      <c r="A85" s="22"/>
      <c r="B85" s="21"/>
      <c r="C85" s="20"/>
    </row>
    <row r="86" spans="1:3">
      <c r="A86" s="22"/>
      <c r="B86" s="21"/>
      <c r="C86" s="20"/>
    </row>
    <row r="87" spans="1:3">
      <c r="A87" s="22"/>
      <c r="B87" s="21"/>
      <c r="C87" s="20"/>
    </row>
    <row r="88" spans="1:3">
      <c r="A88" s="22"/>
      <c r="B88" s="21"/>
      <c r="C88" s="20"/>
    </row>
    <row r="89" spans="1:3">
      <c r="A89" s="22"/>
      <c r="B89" s="21"/>
      <c r="C89" s="20"/>
    </row>
    <row r="90" spans="1:3">
      <c r="A90" s="22"/>
      <c r="B90" s="21"/>
      <c r="C90" s="20"/>
    </row>
    <row r="91" spans="1:3">
      <c r="A91" s="22"/>
      <c r="B91" s="21"/>
      <c r="C91" s="20"/>
    </row>
    <row r="92" spans="1:3">
      <c r="A92" s="22"/>
      <c r="B92" s="21"/>
      <c r="C92" s="20"/>
    </row>
    <row r="93" spans="1:3">
      <c r="A93" s="22"/>
      <c r="B93" s="21"/>
      <c r="C93" s="20"/>
    </row>
    <row r="94" spans="1:3">
      <c r="A94" s="22"/>
      <c r="B94" s="21"/>
      <c r="C94" s="20"/>
    </row>
    <row r="95" spans="1:3">
      <c r="A95" s="22"/>
      <c r="B95" s="21"/>
      <c r="C95" s="20"/>
    </row>
    <row r="96" spans="1:3">
      <c r="A96" s="22"/>
      <c r="B96" s="21"/>
      <c r="C96" s="20"/>
    </row>
    <row r="97" spans="1:3">
      <c r="A97" s="22"/>
      <c r="B97" s="21"/>
      <c r="C97" s="20"/>
    </row>
    <row r="98" spans="1:3">
      <c r="A98" s="22"/>
      <c r="B98" s="21"/>
      <c r="C98" s="20"/>
    </row>
    <row r="99" spans="1:3">
      <c r="A99" s="22"/>
      <c r="B99" s="21"/>
      <c r="C99" s="20"/>
    </row>
    <row r="100" spans="1:3">
      <c r="A100" s="22"/>
      <c r="B100" s="21"/>
      <c r="C100" s="20"/>
    </row>
    <row r="101" spans="1:3">
      <c r="A101" s="22"/>
      <c r="B101" s="21"/>
      <c r="C101" s="20"/>
    </row>
    <row r="102" spans="1:3">
      <c r="A102" s="22"/>
      <c r="B102" s="21"/>
      <c r="C102" s="20"/>
    </row>
    <row r="103" spans="1:3">
      <c r="A103" s="22"/>
      <c r="B103" s="21"/>
      <c r="C103" s="20"/>
    </row>
    <row r="104" spans="1:3">
      <c r="A104" s="22"/>
      <c r="B104" s="21"/>
      <c r="C104" s="20"/>
    </row>
    <row r="105" spans="1:3">
      <c r="A105" s="22"/>
      <c r="B105" s="21"/>
      <c r="C105" s="20"/>
    </row>
    <row r="106" spans="1:3">
      <c r="A106" s="22"/>
      <c r="B106" s="21"/>
      <c r="C106" s="20"/>
    </row>
    <row r="107" spans="1:3">
      <c r="A107" s="22"/>
      <c r="B107" s="21"/>
      <c r="C107" s="20"/>
    </row>
    <row r="108" spans="1:3">
      <c r="A108" s="22"/>
      <c r="B108" s="21"/>
      <c r="C108" s="20"/>
    </row>
    <row r="109" spans="1:3">
      <c r="A109" s="22"/>
      <c r="B109" s="21"/>
      <c r="C109" s="20"/>
    </row>
    <row r="110" spans="1:3">
      <c r="A110" s="22"/>
      <c r="B110" s="21"/>
      <c r="C110" s="20"/>
    </row>
    <row r="111" spans="1:3">
      <c r="A111" s="22"/>
      <c r="B111" s="21"/>
      <c r="C111" s="20"/>
    </row>
    <row r="112" spans="1:3">
      <c r="A112" s="22"/>
      <c r="B112" s="21"/>
      <c r="C112" s="20"/>
    </row>
    <row r="113" spans="1:3">
      <c r="A113" s="22"/>
      <c r="B113" s="21"/>
      <c r="C113" s="20"/>
    </row>
    <row r="114" spans="1:3">
      <c r="A114" s="22"/>
      <c r="B114" s="21"/>
      <c r="C114" s="20"/>
    </row>
    <row r="115" spans="1:3">
      <c r="A115" s="22"/>
      <c r="B115" s="21"/>
      <c r="C115" s="20"/>
    </row>
    <row r="116" spans="1:3">
      <c r="A116" s="22"/>
      <c r="B116" s="21"/>
      <c r="C116" s="20"/>
    </row>
    <row r="117" spans="1:3">
      <c r="A117" s="22"/>
      <c r="B117" s="21"/>
      <c r="C117" s="20"/>
    </row>
    <row r="118" spans="1:3">
      <c r="A118" s="22"/>
      <c r="B118" s="21"/>
      <c r="C118" s="20"/>
    </row>
    <row r="119" spans="1:3">
      <c r="A119" s="22"/>
      <c r="B119" s="21"/>
      <c r="C119" s="20"/>
    </row>
  </sheetData>
  <phoneticPr fontId="2" type="noConversion"/>
  <hyperlinks>
    <hyperlink ref="C3" r:id="rId1" xr:uid="{A1502BBC-06B6-134D-B742-2811E04F4EC6}"/>
    <hyperlink ref="C4" r:id="rId2" xr:uid="{97AF6565-7718-204A-9908-D259C6BA2185}"/>
    <hyperlink ref="C5" r:id="rId3" xr:uid="{7F43A900-3591-1943-8137-ACAAE8F35ABF}"/>
    <hyperlink ref="C6" r:id="rId4" xr:uid="{A7E3C4E0-03AB-B74C-B341-59AE2CCAEBF0}"/>
    <hyperlink ref="C7" r:id="rId5" xr:uid="{98E43C75-6A77-BB4F-95E1-2CC1E78A9C24}"/>
    <hyperlink ref="C8" r:id="rId6" xr:uid="{1C552A1A-409D-B14E-8BDA-76465839B109}"/>
    <hyperlink ref="C9" r:id="rId7" xr:uid="{27C42737-00B9-E145-944C-A846D9EF97B9}"/>
    <hyperlink ref="C10" r:id="rId8" xr:uid="{8D404CB1-E510-984E-9686-320247707D6A}"/>
    <hyperlink ref="C11" r:id="rId9" xr:uid="{AF0403F5-94F1-8645-972A-A085F416C377}"/>
    <hyperlink ref="C12" r:id="rId10" xr:uid="{B18B7D67-FEEA-4243-A0E5-1DCFAFB51994}"/>
    <hyperlink ref="C13" r:id="rId11" xr:uid="{740888C4-F1A5-3447-9D5E-CC6CC5AC1CE1}"/>
    <hyperlink ref="C14" r:id="rId12" xr:uid="{29C94A8E-8EB2-6A41-BB15-B27848EAD532}"/>
    <hyperlink ref="C15" r:id="rId13" xr:uid="{E52B5795-DB3F-8940-801A-4044450AB3D3}"/>
    <hyperlink ref="C16" r:id="rId14" xr:uid="{8CC45798-B090-884A-BCF1-132642D5DC5F}"/>
    <hyperlink ref="C17" r:id="rId15" xr:uid="{BE52DC72-674C-D04C-99E2-17C4D1133FD5}"/>
    <hyperlink ref="C18" r:id="rId16" xr:uid="{10D6FACC-715C-C345-8DBF-8AEBED203A8E}"/>
    <hyperlink ref="C19" r:id="rId17" xr:uid="{BBADD971-6E07-6547-A6AC-CA0D8B73B829}"/>
    <hyperlink ref="C20" r:id="rId18" xr:uid="{7239DE79-437B-904C-A5BE-F8EE26DDC9B3}"/>
    <hyperlink ref="C21" r:id="rId19" xr:uid="{54439BFA-1017-4947-8F6E-7D86AC7BF107}"/>
    <hyperlink ref="C22" r:id="rId20" xr:uid="{AEA09822-2AA4-724A-8D89-4E4D0D7DF6BB}"/>
    <hyperlink ref="C24" r:id="rId21" xr:uid="{281098B4-359E-AF4F-A105-9B30A18EFFB8}"/>
    <hyperlink ref="C23" r:id="rId22" xr:uid="{EA3B04B4-C0B2-C149-A2BF-2399B7046CC3}"/>
    <hyperlink ref="C25" r:id="rId23" xr:uid="{B95BC365-14A9-2041-9BEE-BF0C88A84F2D}"/>
    <hyperlink ref="C26" r:id="rId24" xr:uid="{61C35838-BFB1-EB46-A8DC-4B0020D93B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Buyer Selection</vt:lpstr>
      <vt:lpstr>Buyer Evidence</vt:lpstr>
      <vt:lpstr>PayGrow Inputs</vt:lpstr>
      <vt:lpstr>Data Asset Inputs</vt:lpstr>
      <vt:lpstr>5-7 Years Assumption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Luoxuan Ma</dc:creator>
  <cp:lastModifiedBy>Luoxuan Ma</cp:lastModifiedBy>
  <dcterms:created xsi:type="dcterms:W3CDTF">2026-09-22T00:47:28Z</dcterms:created>
  <dcterms:modified xsi:type="dcterms:W3CDTF">2026-09-30T12:26:41Z</dcterms:modified>
</cp:coreProperties>
</file>