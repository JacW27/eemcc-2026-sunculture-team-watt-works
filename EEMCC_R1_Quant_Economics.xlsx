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cqu\Downloads\"/>
    </mc:Choice>
  </mc:AlternateContent>
  <xr:revisionPtr revIDLastSave="0" documentId="13_ncr:1_{9E7CF1A9-6DDC-423C-B007-45106A2C8600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Farmer ROI" sheetId="1" r:id="rId1"/>
    <sheet name="PAYGrow Economics" sheetId="2" r:id="rId2"/>
    <sheet name="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C29" i="2"/>
  <c r="B29" i="2"/>
  <c r="D28" i="2"/>
  <c r="C27" i="2"/>
  <c r="B27" i="2"/>
  <c r="O15" i="2"/>
  <c r="N15" i="2"/>
  <c r="M15" i="2"/>
  <c r="J15" i="2"/>
  <c r="I15" i="2"/>
  <c r="H15" i="2"/>
  <c r="G15" i="2"/>
  <c r="E15" i="2"/>
  <c r="N14" i="2"/>
  <c r="M14" i="2"/>
  <c r="J14" i="2"/>
  <c r="I14" i="2"/>
  <c r="H14" i="2"/>
  <c r="G14" i="2"/>
  <c r="E14" i="2"/>
  <c r="O14" i="2" s="1"/>
  <c r="N13" i="2"/>
  <c r="M13" i="2"/>
  <c r="I13" i="2"/>
  <c r="H13" i="2"/>
  <c r="G13" i="2"/>
  <c r="E13" i="2"/>
  <c r="O13" i="2" s="1"/>
  <c r="N12" i="2"/>
  <c r="M12" i="2"/>
  <c r="J12" i="2"/>
  <c r="I12" i="2"/>
  <c r="H12" i="2"/>
  <c r="G12" i="2"/>
  <c r="E12" i="2"/>
  <c r="O12" i="2" s="1"/>
  <c r="G11" i="2"/>
  <c r="E11" i="2"/>
  <c r="O10" i="2"/>
  <c r="J10" i="2"/>
  <c r="H10" i="2"/>
  <c r="I10" i="2" s="1"/>
  <c r="G10" i="2"/>
  <c r="E10" i="2"/>
  <c r="C28" i="2" s="1"/>
  <c r="J9" i="2"/>
  <c r="G9" i="2"/>
  <c r="B3" i="2" s="1"/>
  <c r="E9" i="2"/>
  <c r="C26" i="1"/>
  <c r="C25" i="1"/>
  <c r="C24" i="1"/>
  <c r="B20" i="1"/>
  <c r="B8" i="1"/>
  <c r="B6" i="1"/>
  <c r="D30" i="2" l="1"/>
  <c r="D29" i="2"/>
  <c r="D27" i="2"/>
  <c r="O11" i="2"/>
  <c r="H11" i="2"/>
  <c r="I11" i="2" s="1"/>
  <c r="B30" i="2"/>
  <c r="B28" i="2"/>
  <c r="O9" i="2"/>
  <c r="H9" i="2"/>
  <c r="I9" i="2" s="1"/>
  <c r="J13" i="2"/>
  <c r="J11" i="2"/>
  <c r="B5" i="2" s="1"/>
  <c r="D26" i="1"/>
  <c r="D25" i="1"/>
  <c r="D24" i="1"/>
  <c r="B15" i="1"/>
  <c r="B9" i="1"/>
  <c r="B10" i="1" s="1"/>
  <c r="E26" i="1" l="1"/>
  <c r="F26" i="1"/>
  <c r="G26" i="1"/>
  <c r="H26" i="1"/>
  <c r="E25" i="1"/>
  <c r="F25" i="1"/>
  <c r="G25" i="1"/>
  <c r="H25" i="1"/>
  <c r="E24" i="1"/>
  <c r="F24" i="1"/>
  <c r="G24" i="1"/>
  <c r="H24" i="1"/>
  <c r="B16" i="1"/>
  <c r="B17" i="1"/>
  <c r="B18" i="1"/>
  <c r="B19" i="1"/>
  <c r="K9" i="2"/>
  <c r="L9" i="2"/>
  <c r="M9" i="2"/>
  <c r="N9" i="2"/>
  <c r="M10" i="2"/>
  <c r="K11" i="2"/>
  <c r="L11" i="2"/>
  <c r="M11" i="2"/>
  <c r="N11" i="2"/>
  <c r="K10" i="2"/>
  <c r="L10" i="2"/>
  <c r="N10" i="2"/>
  <c r="L13" i="2"/>
  <c r="K12" i="2"/>
  <c r="L12" i="2"/>
  <c r="K13" i="2"/>
  <c r="K14" i="2"/>
  <c r="L14" i="2"/>
  <c r="K15" i="2"/>
  <c r="L15" i="2"/>
  <c r="B4" i="2"/>
  <c r="B6" i="2" l="1"/>
</calcChain>
</file>

<file path=xl/sharedStrings.xml><?xml version="1.0" encoding="utf-8"?>
<sst xmlns="http://schemas.openxmlformats.org/spreadsheetml/2006/main" count="231" uniqueCount="194">
  <si>
    <t>Farmer Affordability &amp; Illustrative Income Return — Benchmark &amp; Sensitivity</t>
  </si>
  <si>
    <t>Input / Metric</t>
  </si>
  <si>
    <t>Value</t>
  </si>
  <si>
    <t>Unit</t>
  </si>
  <si>
    <t>Interpretation / Use</t>
  </si>
  <si>
    <t>Source</t>
  </si>
  <si>
    <t>Baseline monthly income — SunCulture women customers</t>
  </si>
  <si>
    <t>USD / month</t>
  </si>
  <si>
    <t>2026 Gender RBF benchmark; used only as an illustrative customer-income baseline.</t>
  </si>
  <si>
    <t>S2</t>
  </si>
  <si>
    <t>Share reporting income increase</t>
  </si>
  <si>
    <t>% of women customers</t>
  </si>
  <si>
    <t>Observed in the 2026 SunCulture Gender RBF impact assessment.</t>
  </si>
  <si>
    <t>Weighted uplift among customers reporting gains</t>
  </si>
  <si>
    <t>% uplift</t>
  </si>
  <si>
    <t>CrossBoundary calculation from the distribution of reported income gains.</t>
  </si>
  <si>
    <t>Expected uplift across income-generating customers</t>
  </si>
  <si>
    <t>Population-weighted benchmark = share with gains × weighted uplift among gainers.</t>
  </si>
  <si>
    <t>USD / KES exchange rate</t>
  </si>
  <si>
    <t>KES per USD</t>
  </si>
  <si>
    <t>Official CBK USD/KES daily rate posted 11 Sep 2026; used as a near-date translation for the 14 Sep case pricing baseline.</t>
  </si>
  <si>
    <t>S3</t>
  </si>
  <si>
    <t>Baseline monthly income</t>
  </si>
  <si>
    <t>KES / month</t>
  </si>
  <si>
    <t>Converted external benchmark; not a case-provided farmer income figure.</t>
  </si>
  <si>
    <t>S2 + S3</t>
  </si>
  <si>
    <t>Base expected monthly incremental income</t>
  </si>
  <si>
    <t>Illustrative benchmark income gain used for repayment-capacity testing.</t>
  </si>
  <si>
    <t>Base expected post-adoption income</t>
  </si>
  <si>
    <t>Baseline income plus modeled incremental income.</t>
  </si>
  <si>
    <t>Affordability payment-share heuristic</t>
  </si>
  <si>
    <t>% of monthly income</t>
  </si>
  <si>
    <t>SunCulture 2021 illustration; treated as a heuristic, not a formal underwriting cutoff.</t>
  </si>
  <si>
    <t>S4</t>
  </si>
  <si>
    <t>Entry-level PAYGrow monthly payment</t>
  </si>
  <si>
    <t>RainMaker2S + CSD2 case pricing.</t>
  </si>
  <si>
    <t>S1</t>
  </si>
  <si>
    <t>Entry-level PAYGrow deposit</t>
  </si>
  <si>
    <t>KES</t>
  </si>
  <si>
    <t>Entry-level cash price</t>
  </si>
  <si>
    <t>Monthly payment / baseline income</t>
  </si>
  <si>
    <t>% of income</t>
  </si>
  <si>
    <t>Affordability indicator for the entry-level plan.</t>
  </si>
  <si>
    <t>Model</t>
  </si>
  <si>
    <t>Base incremental income coverage</t>
  </si>
  <si>
    <t>x</t>
  </si>
  <si>
    <t>How many times benchmark incremental monthly income covers the installment.</t>
  </si>
  <si>
    <t>Benchmark income uplift less installment</t>
  </si>
  <si>
    <t>Illustrative income uplift less PAYGrow monthly payment; this is not net profit and excludes added farm costs and seasonal timing.</t>
  </si>
  <si>
    <t>Simple cash-price payback</t>
  </si>
  <si>
    <t>months</t>
  </si>
  <si>
    <t>Cash price divided by modeled incremental monthly income; illustrative, not causal.</t>
  </si>
  <si>
    <t>Annual incremental income / cash price</t>
  </si>
  <si>
    <t>%</t>
  </si>
  <si>
    <t>Annualized benchmark incremental income divided by cash price. This is an income-to-price ratio, not ROI or net profit.</t>
  </si>
  <si>
    <t>Implied monthly income at 35.3% heuristic</t>
  </si>
  <si>
    <t>Supplementary company heuristic only; 35.3% is not a disclosed underwriting cutoff or an external affordability standard.</t>
  </si>
  <si>
    <t>Income-Uplift Sensitivity — Entry-Level RainMaker2S + CSD2</t>
  </si>
  <si>
    <t>Scenario</t>
  </si>
  <si>
    <t>Construction</t>
  </si>
  <si>
    <t>Expected Uplift %</t>
  </si>
  <si>
    <t>Incremental Income (KES/mo)</t>
  </si>
  <si>
    <t>Installment Coverage</t>
  </si>
  <si>
    <t>Income Uplift Less Installment
(KES/mo)</t>
  </si>
  <si>
    <t>Cash Payback (mo)</t>
  </si>
  <si>
    <t>Annual Incremental Income / Cash Price</t>
  </si>
  <si>
    <t>Conservative</t>
  </si>
  <si>
    <t>79% × 12.5% (midpoint of lowest reported uplift band)</t>
  </si>
  <si>
    <t>Base</t>
  </si>
  <si>
    <t>79% × 46.2% (weighted reported uplift among gainers)</t>
  </si>
  <si>
    <t>Upside</t>
  </si>
  <si>
    <t>79% × 63% (midpoint of 51–75% reported uplift band)</t>
  </si>
  <si>
    <t>Evidence Interpretation / Modeling Limits</t>
  </si>
  <si>
    <t>Issue</t>
  </si>
  <si>
    <t>Implication</t>
  </si>
  <si>
    <t>External benchmark scope</t>
  </si>
  <si>
    <t>The $184 baseline income and 36.5% expected uplift come from a 2026 Gender RBF assessment of SunCulture women customers, not the full SunCulture customer base. Treat the scenario as a benchmark, not a population forecast.</t>
  </si>
  <si>
    <t>Independent evidence check</t>
  </si>
  <si>
    <t>A 2026 Duke/University of Nairobi panel evaluation (753 households) found encouraging welfare/adaptation effects, but short-run direct effects on total income and agricultural output were limited or statistically insignificant.</t>
  </si>
  <si>
    <t>Seasonality</t>
  </si>
  <si>
    <t>Agricultural cash flow is seasonal. The PAYGrow contract is monthly, but converting farm income into a smooth monthly equivalent can overstate month-to-month repayment liquidity; actual repayment capacity depends on harvest timing and shocks.</t>
  </si>
  <si>
    <t>Unmodeled farm costs</t>
  </si>
  <si>
    <t>Incremental seeds, fertilizer, hired labor, water access, crop-price volatility and other production costs are not deducted because product-specific public data are unavailable.</t>
  </si>
  <si>
    <t>Return metric interpretation</t>
  </si>
  <si>
    <t>Payback and annual income-to-price ratios are simple scenario metrics, not observed product ROI. They do not deduct incremental farm inputs/labor, financing cost, O&amp;M, depreciation, or residual value.</t>
  </si>
  <si>
    <t>PAYGrow Economics — Contractual Collections, Affordability &amp; Collection Sensitivity</t>
  </si>
  <si>
    <t>Key Metric</t>
  </si>
  <si>
    <t>Result</t>
  </si>
  <si>
    <t>Interpretation</t>
  </si>
  <si>
    <t>Entry-level upfront cash reduction</t>
  </si>
  <si>
    <t>Deposit vs. cash price for RainMaker2S + CSD2.</t>
  </si>
  <si>
    <t>Comparable-product contractual premium range</t>
  </si>
  <si>
    <t>Total contractual collections above stated cash price; not profit.</t>
  </si>
  <si>
    <t>Monthly payment / benchmark baseline income range</t>
  </si>
  <si>
    <t>Illustrative affordability range across all financed products.</t>
  </si>
  <si>
    <t>Base income-uplift coverage range</t>
  </si>
  <si>
    <t>Benchmark incremental monthly income divided by monthly installment.</t>
  </si>
  <si>
    <t>Product</t>
  </si>
  <si>
    <t>Deposit (KES)</t>
  </si>
  <si>
    <t>Monthly Payment
(KES)</t>
  </si>
  <si>
    <t>Tenor (mo)</t>
  </si>
  <si>
    <t>Total Contractual Collections
(KES)</t>
  </si>
  <si>
    <t>Cash Price (KES)</t>
  </si>
  <si>
    <t>Upfront Reduction %</t>
  </si>
  <si>
    <t>Contractual Premium
(KES)</t>
  </si>
  <si>
    <t>Premium %</t>
  </si>
  <si>
    <t>Payment / Benchmark
Income</t>
  </si>
  <si>
    <t>Base Uplift Coverage</t>
  </si>
  <si>
    <t>Uplift Less Payment
(KES)</t>
  </si>
  <si>
    <t>Annual Income /
Cash Price</t>
  </si>
  <si>
    <t>Deposit / Contract Value</t>
  </si>
  <si>
    <t>RainMaker2S + CSD2</t>
  </si>
  <si>
    <t>RainMaker Kubwa MAX + CSD2</t>
  </si>
  <si>
    <t>RainMaker2S MAX + CSD2</t>
  </si>
  <si>
    <t>Surface Pump + CSD1</t>
  </si>
  <si>
    <t>RainMaker2S + CSB2</t>
  </si>
  <si>
    <t>RainMaker Kubwa MAX + CSB2</t>
  </si>
  <si>
    <t>Hydromax Solar + CSD2</t>
  </si>
  <si>
    <t>Point</t>
  </si>
  <si>
    <t>Why it matters</t>
  </si>
  <si>
    <t>Contractual collections ≠ profit</t>
  </si>
  <si>
    <t>The 85.6–95.1% premium on the three products with cash-price comparables must cover financing cost, time value of money, credit losses, collections, servicing, warranty and potentially installation. Do not present it as margin.</t>
  </si>
  <si>
    <t>Affordability result is benchmark-based</t>
  </si>
  <si>
    <t>The income benchmark is from a 2026 women-focused SunCulture Gender RBF assessment. It supports scenario testing, not a claim that every SunCulture borrower can afford every product.</t>
  </si>
  <si>
    <t>Repayment capacity is seasonal</t>
  </si>
  <si>
    <t>Monthly-equivalent income coverage is not the same as month-by-month liquidity. PAYGrow payments are monthly, while farm cash generation can be concentrated around harvests and exposed to climate shocks.</t>
  </si>
  <si>
    <t>Strategic implication</t>
  </si>
  <si>
    <t>PAYGrow materially reduces upfront cash barriers, but SunCulture carries a multi-year receivable plus servicing and credit risk. Scalable growth therefore depends on funding capacity, portfolio quality and underwriting discipline—not only product demand.</t>
  </si>
  <si>
    <t>Collection-Realization Stress Test — Gross Collections Relative to Cash Sale</t>
  </si>
  <si>
    <t>Collection Realization</t>
  </si>
  <si>
    <t>Gross Realized Collections / Cash Sale (x)</t>
  </si>
  <si>
    <t>2S + CSD2</t>
  </si>
  <si>
    <t>Kubwa MAX + CSD2</t>
  </si>
  <si>
    <t>2S MAX + CSD2</t>
  </si>
  <si>
    <t>1.00x means gross realized PAYGrow collections equal the stated cash-sale price. Values above 1.00x are not profit: funding cost, credit/collection losses, servicing, warranty, tax and time value of money remain unmodeled.</t>
  </si>
  <si>
    <t>External context</t>
  </si>
  <si>
    <t>GOGLA's 2026 PAYGo PERFORM framework centers repayment rate and customer ownership. Its broader PAYGo dataset reports 72% average repayment at 2× contract term, with wide firm variation; SHS portfolios are not directly comparable to productive-use irrigation assets.</t>
  </si>
  <si>
    <t>S8</t>
  </si>
  <si>
    <t>Sources &amp; Assumptions</t>
  </si>
  <si>
    <t>ID</t>
  </si>
  <si>
    <t>Source / Date</t>
  </si>
  <si>
    <t>Type / Quality</t>
  </si>
  <si>
    <t>Data Used</t>
  </si>
  <si>
    <t>Limitation / Modeling Treatment</t>
  </si>
  <si>
    <t>URL / Reference</t>
  </si>
  <si>
    <t>2026 Energy in Emerging Markets Case Competition — SunCulture case (Sep 2026)</t>
  </si>
  <si>
    <t>Official competition source — High</t>
  </si>
  <si>
    <t>PAYGrow product deposit, monthly payment, tenor and cash prices; free delivery/installation terms.</t>
  </si>
  <si>
    <t>Primary source for competition pricing. Use case-provided pricing rather than live website pricing.</t>
  </si>
  <si>
    <t>User-supplied PDF: 2026 EEMCC Case_Final(1).pdf, pp. 24–26</t>
  </si>
  <si>
    <t>CrossBoundary / Shell Foundation, Gender Results-Based Financing Pilot Final Report (Mar 2026)</t>
  </si>
  <si>
    <t>Program evaluation / 60 Decibels data — Medium-High</t>
  </si>
  <si>
    <t>SunCulture women-customer baseline monthly income = US$184; 79% reported income increase; weighted uplift among gainers = 46.2%; expected uplift across income-generating customers = 36.5%.</t>
  </si>
  <si>
    <t>Women-focused RBF program; not necessarily representative of all SunCulture customers. Used as an illustrative benchmark scenario, not a causal population estimate.</t>
  </si>
  <si>
    <t>https://shellfoundation.org/wp-content/uploads/2026/03/Gender-RBF-Final-Report-6-March-2026-vF.pdf</t>
  </si>
  <si>
    <t>Central Bank of Kenya, Daily KES Exchange Rates (11 Sep 2026)</t>
  </si>
  <si>
    <t>Official central bank data — High</t>
  </si>
  <si>
    <t>USD/KES = 129.45, used to translate the external USD income benchmark into KES.</t>
  </si>
  <si>
    <t>Nearest directly verified official daily observation to the 14 Sep case-pricing baseline; translation only, with immaterial effect on conclusions.</t>
  </si>
  <si>
    <t>https://www.centralbank.go.ke/forex/</t>
  </si>
  <si>
    <t>SunCulture Annual Letter 2021 (published Mar 2022)</t>
  </si>
  <si>
    <t>Company analysis — Medium</t>
  </si>
  <si>
    <t>Affordability illustration assumes a solar-irrigation repayment equal to 35.30% of monthly household income.</t>
  </si>
  <si>
    <t>Not a disclosed underwriting policy or external standard; used only as a heuristic sensitivity benchmark.</t>
  </si>
  <si>
    <t>https://sunculture.io/blog/2022/03/27/sunculture-annual-letter-2021/</t>
  </si>
  <si>
    <t>S5</t>
  </si>
  <si>
    <t>Duke University / University of Nairobi, Evaluating the Adaptation Benefits of Smallholder Solar Irrigation Systems in Kenya (Jan 2026)</t>
  </si>
  <si>
    <t>Independent academic evaluation — High</t>
  </si>
  <si>
    <t>753-household panel; used as a counterweight when interpreting income ROI claims.</t>
  </si>
  <si>
    <t>Study reports encouraging welfare/adaptation changes, but direct short-run effects on total income and agricultural output were limited or statistically insignificant. Therefore modeled income-return/payback metrics are explicitly illustrative.</t>
  </si>
  <si>
    <t>https://energyaccess.duke.edu/wp-content/uploads/2026/01/evaluating-adaptation-benefits-smallholder-solar-irrigation-systems-kenya.pdf</t>
  </si>
  <si>
    <t>S6</t>
  </si>
  <si>
    <t>SunCulture / 60 Decibels impact survey (Apr 2021)</t>
  </si>
  <si>
    <t>Company-hosted third-party survey — Medium</t>
  </si>
  <si>
    <t>150 customers; 76% reported improvements in money earned from farming; average engagement 8 months; average cultivated area 1.9 acres.</t>
  </si>
  <si>
    <t>Older, self-reported customer survey; used only as corroborating context, not as a model input.</t>
  </si>
  <si>
    <t>https://sunculture.io/blog/2021/04/16/impact-survey-sunculture-improved-life-of-150-customers/</t>
  </si>
  <si>
    <t>S7</t>
  </si>
  <si>
    <t>Applied Energy (2025), GIS-based method for assessing the viability of solar-powered irrigation</t>
  </si>
  <si>
    <t>Peer-reviewed research — High</t>
  </si>
  <si>
    <t>Finds modeled solar irrigation LCOE of US$0.09–0.25/kWh and cheaper than diesel irrigation across Kenya.</t>
  </si>
  <si>
    <t>Not SunCulture-specific and does not provide product-specific farmer ROI; used as qualitative external validation only.</t>
  </si>
  <si>
    <t>https://www.sciencedirect.com/science/article/pii/S0306261924018440</t>
  </si>
  <si>
    <t>GOGLA, PAYGo PERFORM / Measuring What Matters (2026)</t>
  </si>
  <si>
    <t>Industry KPI framework &amp; aggregated portfolio data — Medium-High</t>
  </si>
  <si>
    <t>Repayment Rate and Customer Ownership Rate identified as core PAYGo KPIs; broader dataset average repayment rate at 2× contract term = 72%, with material firm variation.</t>
  </si>
  <si>
    <t>Off-grid solar PAYGo portfolios, not SunCulture irrigation. Used only to motivate collection-realization stress testing; not used as a SunCulture forecast.</t>
  </si>
  <si>
    <t>https://gogla.org/blog/measuring-what-matters-paygo-kpis-to-drive-smarter-growth-and-investment/</t>
  </si>
  <si>
    <t>S9</t>
  </si>
  <si>
    <t>GOGLA, Keeping the Lights On (May 2025)</t>
  </si>
  <si>
    <t>Industry customer research — Medium</t>
  </si>
  <si>
    <t>Among PAYGo SHS customers struggling to pay in Kenya/Uganda, stable monthly income was uncommon and climate shocks frequently affected income.</t>
  </si>
  <si>
    <t>Study intentionally sampled struggling SHS customers and excluded larger productive-use systems. Used only to support caution around smooth monthly cash-flow assumptions.</t>
  </si>
  <si>
    <t>https://gogla.org/reports/keeping-the-lights-on/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</si>
</sst>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\$#,##0.0;[Red]\(\$#,##0.0\);\-"/>
    <numFmt numFmtId="177" formatCode="0.0%;[Red]\(0.0%\);\-"/>
    <numFmt numFmtId="178" formatCode="#,##0;[Red]\(#,##0\);\-"/>
    <numFmt numFmtId="179" formatCode="0.00\x"/>
    <numFmt numFmtId="180" formatCode="0.0\ &quot;mo&quot;"/>
    <numFmt numFmtId="181" formatCode="0.0%"/>
    <numFmt numFmtId="182" formatCode="0.0\ &quot;mo&quot;;[Red]\(0.0\ &quot;mo&quot;\);\-"/>
    <numFmt numFmtId="183" formatCode="0.00\x;[Red]\(0.00\x\);\-"/>
  </numFmts>
  <fonts count="8"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0563C1"/>
      <name val="Carlito"/>
    </font>
    <font>
      <b/>
      <sz val="11"/>
      <color rgb="FF0000FF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83C9E8"/>
      </patternFill>
    </fill>
    <fill>
      <patternFill patternType="solid">
        <fgColor rgb="FF83C9E8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76" fontId="3" fillId="0" borderId="0" xfId="0" applyNumberFormat="1" applyFont="1" applyAlignment="1">
      <alignment vertical="top" wrapText="1"/>
    </xf>
    <xf numFmtId="177" fontId="3" fillId="0" borderId="0" xfId="0" applyNumberFormat="1" applyFont="1" applyAlignment="1">
      <alignment vertical="top" wrapText="1"/>
    </xf>
    <xf numFmtId="177" fontId="2" fillId="0" borderId="0" xfId="0" applyNumberFormat="1" applyFont="1" applyAlignment="1">
      <alignment vertical="top" wrapText="1"/>
    </xf>
    <xf numFmtId="178" fontId="2" fillId="0" borderId="0" xfId="0" applyNumberFormat="1" applyFont="1" applyAlignment="1">
      <alignment vertical="top" wrapText="1"/>
    </xf>
    <xf numFmtId="178" fontId="3" fillId="0" borderId="0" xfId="0" applyNumberFormat="1" applyFont="1" applyAlignment="1">
      <alignment vertical="top" wrapText="1"/>
    </xf>
    <xf numFmtId="179" fontId="2" fillId="0" borderId="0" xfId="0" applyNumberFormat="1" applyFont="1" applyAlignment="1">
      <alignment vertical="top" wrapText="1"/>
    </xf>
    <xf numFmtId="180" fontId="2" fillId="0" borderId="0" xfId="0" applyNumberFormat="1" applyFont="1" applyAlignment="1">
      <alignment vertical="top" wrapText="1"/>
    </xf>
    <xf numFmtId="1" fontId="3" fillId="0" borderId="0" xfId="0" applyNumberFormat="1" applyFont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9" fontId="4" fillId="0" borderId="0" xfId="0" applyNumberFormat="1" applyFont="1" applyAlignment="1">
      <alignment vertical="top" wrapText="1"/>
    </xf>
    <xf numFmtId="178" fontId="4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81" fontId="2" fillId="0" borderId="0" xfId="0" applyNumberFormat="1" applyFont="1" applyAlignment="1">
      <alignment vertical="top" wrapText="1"/>
    </xf>
    <xf numFmtId="182" fontId="4" fillId="0" borderId="0" xfId="0" applyNumberFormat="1" applyFont="1" applyAlignment="1">
      <alignment vertical="top" wrapText="1"/>
    </xf>
    <xf numFmtId="0" fontId="1" fillId="0" borderId="0" xfId="0" applyFont="1" applyAlignment="1">
      <alignment wrapText="1"/>
    </xf>
    <xf numFmtId="2" fontId="3" fillId="0" borderId="0" xfId="0" applyNumberFormat="1" applyFont="1" applyAlignment="1">
      <alignment vertical="top" wrapText="1"/>
    </xf>
    <xf numFmtId="178" fontId="2" fillId="0" borderId="0" xfId="0" applyNumberFormat="1" applyFont="1"/>
    <xf numFmtId="177" fontId="2" fillId="0" borderId="0" xfId="0" applyNumberFormat="1" applyFont="1"/>
    <xf numFmtId="9" fontId="3" fillId="0" borderId="0" xfId="0" applyNumberFormat="1" applyFont="1" applyAlignment="1">
      <alignment horizontal="center"/>
    </xf>
    <xf numFmtId="183" fontId="2" fillId="0" borderId="0" xfId="0" applyNumberFormat="1" applyFont="1" applyAlignment="1">
      <alignment horizontal="center"/>
    </xf>
    <xf numFmtId="183" fontId="1" fillId="3" borderId="0" xfId="0" applyNumberFormat="1" applyFont="1" applyFill="1" applyAlignment="1">
      <alignment horizontal="center" vertical="center" wrapText="1"/>
    </xf>
    <xf numFmtId="9" fontId="6" fillId="0" borderId="0" xfId="0" applyNumberFormat="1" applyFont="1" applyAlignment="1">
      <alignment horizontal="center" wrapText="1"/>
    </xf>
    <xf numFmtId="183" fontId="2" fillId="0" borderId="0" xfId="0" applyNumberFormat="1" applyFont="1" applyAlignment="1">
      <alignment horizontal="center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9" fontId="1" fillId="3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top" wrapText="1"/>
    </xf>
    <xf numFmtId="0" fontId="0" fillId="4" borderId="0" xfId="0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2"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opLeftCell="A18" workbookViewId="0">
      <selection activeCell="A7" sqref="A7"/>
    </sheetView>
  </sheetViews>
  <sheetFormatPr defaultRowHeight="14"/>
  <cols>
    <col min="1" max="1" width="50.33203125" bestFit="1" customWidth="1"/>
    <col min="2" max="2" width="20" customWidth="1"/>
    <col min="3" max="3" width="17" customWidth="1"/>
    <col min="4" max="4" width="70.75" customWidth="1"/>
    <col min="5" max="5" width="16" customWidth="1"/>
    <col min="6" max="6" width="24" customWidth="1"/>
    <col min="7" max="7" width="20" customWidth="1"/>
    <col min="8" max="8" width="18" customWidth="1"/>
  </cols>
  <sheetData>
    <row r="1" spans="1:8">
      <c r="A1" s="30" t="s">
        <v>0</v>
      </c>
      <c r="B1" s="30"/>
      <c r="C1" s="30"/>
      <c r="D1" s="30"/>
      <c r="E1" s="30"/>
      <c r="F1" s="16"/>
      <c r="G1" s="16"/>
      <c r="H1" s="16"/>
    </row>
    <row r="2" spans="1:8" s="41" customFormat="1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4"/>
      <c r="G2" s="44"/>
      <c r="H2" s="44"/>
    </row>
    <row r="3" spans="1:8" ht="17.649999999999999" customHeight="1">
      <c r="A3" s="2" t="s">
        <v>6</v>
      </c>
      <c r="B3" s="3">
        <v>184</v>
      </c>
      <c r="C3" s="2" t="s">
        <v>7</v>
      </c>
      <c r="D3" s="2" t="s">
        <v>8</v>
      </c>
      <c r="E3" s="2" t="s">
        <v>9</v>
      </c>
      <c r="F3" s="17"/>
      <c r="G3" s="17"/>
      <c r="H3" s="17"/>
    </row>
    <row r="4" spans="1:8" ht="17.649999999999999" customHeight="1">
      <c r="A4" s="2" t="s">
        <v>10</v>
      </c>
      <c r="B4" s="4">
        <v>0.79</v>
      </c>
      <c r="C4" s="2" t="s">
        <v>11</v>
      </c>
      <c r="D4" s="2" t="s">
        <v>12</v>
      </c>
      <c r="E4" s="2" t="s">
        <v>9</v>
      </c>
      <c r="F4" s="17"/>
      <c r="G4" s="17"/>
      <c r="H4" s="17"/>
    </row>
    <row r="5" spans="1:8" ht="17.649999999999999" customHeight="1">
      <c r="A5" s="2" t="s">
        <v>13</v>
      </c>
      <c r="B5" s="4">
        <v>0.46200000000000002</v>
      </c>
      <c r="C5" s="2" t="s">
        <v>14</v>
      </c>
      <c r="D5" s="2" t="s">
        <v>15</v>
      </c>
      <c r="E5" s="2" t="s">
        <v>9</v>
      </c>
      <c r="F5" s="17"/>
      <c r="G5" s="17"/>
      <c r="H5" s="17"/>
    </row>
    <row r="6" spans="1:8" ht="28">
      <c r="A6" s="2" t="s">
        <v>16</v>
      </c>
      <c r="B6" s="5">
        <f>B4*B5</f>
        <v>0.36498000000000003</v>
      </c>
      <c r="C6" s="2" t="s">
        <v>14</v>
      </c>
      <c r="D6" s="2" t="s">
        <v>17</v>
      </c>
      <c r="E6" s="2" t="s">
        <v>9</v>
      </c>
      <c r="F6" s="17"/>
      <c r="G6" s="17"/>
      <c r="H6" s="17"/>
    </row>
    <row r="7" spans="1:8" ht="28">
      <c r="A7" s="2" t="s">
        <v>18</v>
      </c>
      <c r="B7" s="22">
        <v>129.44999999999999</v>
      </c>
      <c r="C7" s="2" t="s">
        <v>19</v>
      </c>
      <c r="D7" s="2" t="s">
        <v>20</v>
      </c>
      <c r="E7" s="2" t="s">
        <v>21</v>
      </c>
      <c r="F7" s="17"/>
      <c r="G7" s="17"/>
      <c r="H7" s="17"/>
    </row>
    <row r="8" spans="1:8" ht="28">
      <c r="A8" s="2" t="s">
        <v>22</v>
      </c>
      <c r="B8" s="6">
        <f>B3*B7</f>
        <v>23818.799999999999</v>
      </c>
      <c r="C8" s="2" t="s">
        <v>23</v>
      </c>
      <c r="D8" s="2" t="s">
        <v>24</v>
      </c>
      <c r="E8" s="2" t="s">
        <v>25</v>
      </c>
      <c r="F8" s="17"/>
      <c r="G8" s="17"/>
      <c r="H8" s="17"/>
    </row>
    <row r="9" spans="1:8" ht="28">
      <c r="A9" s="2" t="s">
        <v>26</v>
      </c>
      <c r="B9" s="6">
        <f>B8*B6</f>
        <v>8693.3856240000005</v>
      </c>
      <c r="C9" s="2" t="s">
        <v>23</v>
      </c>
      <c r="D9" s="2" t="s">
        <v>27</v>
      </c>
      <c r="E9" s="2" t="s">
        <v>25</v>
      </c>
      <c r="F9" s="17"/>
      <c r="G9" s="17"/>
      <c r="H9" s="17"/>
    </row>
    <row r="10" spans="1:8" ht="28">
      <c r="A10" s="2" t="s">
        <v>28</v>
      </c>
      <c r="B10" s="6">
        <f>B8+B9</f>
        <v>32512.185623999998</v>
      </c>
      <c r="C10" s="2" t="s">
        <v>23</v>
      </c>
      <c r="D10" s="2" t="s">
        <v>29</v>
      </c>
      <c r="E10" s="2" t="s">
        <v>25</v>
      </c>
      <c r="F10" s="17"/>
      <c r="G10" s="17"/>
      <c r="H10" s="17"/>
    </row>
    <row r="11" spans="1:8" ht="28">
      <c r="A11" s="2" t="s">
        <v>30</v>
      </c>
      <c r="B11" s="4">
        <v>0.35299999999999998</v>
      </c>
      <c r="C11" s="2" t="s">
        <v>31</v>
      </c>
      <c r="D11" s="2" t="s">
        <v>32</v>
      </c>
      <c r="E11" s="2" t="s">
        <v>33</v>
      </c>
      <c r="F11" s="17"/>
      <c r="G11" s="17"/>
      <c r="H11" s="17"/>
    </row>
    <row r="12" spans="1:8" ht="28">
      <c r="A12" s="2" t="s">
        <v>34</v>
      </c>
      <c r="B12" s="7">
        <v>3900</v>
      </c>
      <c r="C12" s="2" t="s">
        <v>23</v>
      </c>
      <c r="D12" s="2" t="s">
        <v>35</v>
      </c>
      <c r="E12" s="2" t="s">
        <v>36</v>
      </c>
      <c r="F12" s="17"/>
      <c r="G12" s="17"/>
      <c r="H12" s="17"/>
    </row>
    <row r="13" spans="1:8">
      <c r="A13" s="2" t="s">
        <v>37</v>
      </c>
      <c r="B13" s="7">
        <v>3999</v>
      </c>
      <c r="C13" s="2" t="s">
        <v>38</v>
      </c>
      <c r="D13" s="2" t="s">
        <v>35</v>
      </c>
      <c r="E13" s="2" t="s">
        <v>36</v>
      </c>
      <c r="F13" s="17"/>
      <c r="G13" s="17"/>
      <c r="H13" s="17"/>
    </row>
    <row r="14" spans="1:8">
      <c r="A14" s="2" t="s">
        <v>39</v>
      </c>
      <c r="B14" s="7">
        <v>64999</v>
      </c>
      <c r="C14" s="2" t="s">
        <v>38</v>
      </c>
      <c r="D14" s="2" t="s">
        <v>35</v>
      </c>
      <c r="E14" s="2" t="s">
        <v>36</v>
      </c>
      <c r="F14" s="17"/>
      <c r="G14" s="17"/>
      <c r="H14" s="17"/>
    </row>
    <row r="15" spans="1:8">
      <c r="A15" s="2" t="s">
        <v>40</v>
      </c>
      <c r="B15" s="5">
        <f>B12/B8</f>
        <v>0.16373620837321781</v>
      </c>
      <c r="C15" s="2" t="s">
        <v>41</v>
      </c>
      <c r="D15" s="2" t="s">
        <v>42</v>
      </c>
      <c r="E15" s="2" t="s">
        <v>43</v>
      </c>
      <c r="F15" s="17"/>
      <c r="G15" s="17"/>
      <c r="H15" s="17"/>
    </row>
    <row r="16" spans="1:8" ht="17.649999999999999" customHeight="1">
      <c r="A16" s="2" t="s">
        <v>44</v>
      </c>
      <c r="B16" s="8">
        <f>B9/B12</f>
        <v>2.2290732369230772</v>
      </c>
      <c r="C16" s="2" t="s">
        <v>45</v>
      </c>
      <c r="D16" s="2" t="s">
        <v>46</v>
      </c>
      <c r="E16" s="2" t="s">
        <v>43</v>
      </c>
      <c r="F16" s="17"/>
      <c r="G16" s="17"/>
      <c r="H16" s="17"/>
    </row>
    <row r="17" spans="1:8" ht="17.649999999999999" customHeight="1">
      <c r="A17" s="2" t="s">
        <v>47</v>
      </c>
      <c r="B17" s="6">
        <f>B9-B12</f>
        <v>4793.3856240000005</v>
      </c>
      <c r="C17" s="2" t="s">
        <v>23</v>
      </c>
      <c r="D17" s="2" t="s">
        <v>48</v>
      </c>
      <c r="E17" s="2" t="s">
        <v>43</v>
      </c>
      <c r="F17" s="17"/>
      <c r="G17" s="17"/>
      <c r="H17" s="17"/>
    </row>
    <row r="18" spans="1:8" ht="28">
      <c r="A18" s="2" t="s">
        <v>49</v>
      </c>
      <c r="B18" s="9">
        <f>B14/B9</f>
        <v>7.4768338609708032</v>
      </c>
      <c r="C18" s="2" t="s">
        <v>50</v>
      </c>
      <c r="D18" s="2" t="s">
        <v>51</v>
      </c>
      <c r="E18" s="2" t="s">
        <v>43</v>
      </c>
      <c r="F18" s="17"/>
      <c r="G18" s="17"/>
      <c r="H18" s="17"/>
    </row>
    <row r="19" spans="1:8" ht="28">
      <c r="A19" s="2" t="s">
        <v>52</v>
      </c>
      <c r="B19" s="19">
        <f>B9*12/B14</f>
        <v>1.6049574222372651</v>
      </c>
      <c r="C19" s="2" t="s">
        <v>53</v>
      </c>
      <c r="D19" s="2" t="s">
        <v>54</v>
      </c>
      <c r="E19" s="2" t="s">
        <v>43</v>
      </c>
      <c r="F19" s="17"/>
      <c r="G19" s="17"/>
      <c r="H19" s="17"/>
    </row>
    <row r="20" spans="1:8" ht="17.649999999999999" customHeight="1">
      <c r="A20" s="2" t="s">
        <v>55</v>
      </c>
      <c r="B20" s="6">
        <f>B12/B11</f>
        <v>11048.158640226629</v>
      </c>
      <c r="C20" s="2" t="s">
        <v>23</v>
      </c>
      <c r="D20" s="2" t="s">
        <v>56</v>
      </c>
      <c r="E20" s="2" t="s">
        <v>43</v>
      </c>
      <c r="F20" s="17"/>
      <c r="G20" s="17"/>
      <c r="H20" s="17"/>
    </row>
    <row r="21" spans="1:8" ht="10" customHeight="1">
      <c r="A21" s="17"/>
      <c r="B21" s="17"/>
      <c r="C21" s="17"/>
      <c r="D21" s="17"/>
      <c r="E21" s="17"/>
      <c r="F21" s="17"/>
      <c r="G21" s="17"/>
      <c r="H21" s="17"/>
    </row>
    <row r="22" spans="1:8">
      <c r="A22" s="31" t="s">
        <v>57</v>
      </c>
      <c r="B22" s="31"/>
      <c r="C22" s="31"/>
      <c r="D22" s="31"/>
      <c r="E22" s="31"/>
      <c r="F22" s="31"/>
      <c r="G22" s="31"/>
      <c r="H22" s="31"/>
    </row>
    <row r="23" spans="1:8" s="41" customFormat="1" ht="17.649999999999999" customHeight="1">
      <c r="A23" s="40" t="s">
        <v>58</v>
      </c>
      <c r="B23" s="40" t="s">
        <v>59</v>
      </c>
      <c r="C23" s="40" t="s">
        <v>60</v>
      </c>
      <c r="D23" s="40" t="s">
        <v>61</v>
      </c>
      <c r="E23" s="40" t="s">
        <v>62</v>
      </c>
      <c r="F23" s="40" t="s">
        <v>63</v>
      </c>
      <c r="G23" s="40" t="s">
        <v>64</v>
      </c>
      <c r="H23" s="40" t="s">
        <v>65</v>
      </c>
    </row>
    <row r="24" spans="1:8" ht="26.4" customHeight="1">
      <c r="A24" s="2" t="s">
        <v>66</v>
      </c>
      <c r="B24" s="2" t="s">
        <v>67</v>
      </c>
      <c r="C24" s="5">
        <f>$B$4*12.5%</f>
        <v>9.8750000000000004E-2</v>
      </c>
      <c r="D24" s="6">
        <f>$B$8*C24</f>
        <v>2352.1064999999999</v>
      </c>
      <c r="E24" s="8">
        <f>D24/$B$12</f>
        <v>0.6031042307692307</v>
      </c>
      <c r="F24" s="6">
        <f>D24-$B$12</f>
        <v>-1547.8935000000001</v>
      </c>
      <c r="G24" s="9">
        <f>IF(D24&gt;0,$B$14/D24,"")</f>
        <v>27.634377950148092</v>
      </c>
      <c r="H24" s="5">
        <f>IF(D24&gt;0,D24*12/$B$14,"")</f>
        <v>0.43424172679579681</v>
      </c>
    </row>
    <row r="25" spans="1:8" ht="26.4" customHeight="1">
      <c r="A25" s="2" t="s">
        <v>68</v>
      </c>
      <c r="B25" s="2" t="s">
        <v>69</v>
      </c>
      <c r="C25" s="5">
        <f>$B$4*$B$5</f>
        <v>0.36498000000000003</v>
      </c>
      <c r="D25" s="6">
        <f>$B$8*C25</f>
        <v>8693.3856240000005</v>
      </c>
      <c r="E25" s="8">
        <f>D25/$B$12</f>
        <v>2.2290732369230772</v>
      </c>
      <c r="F25" s="6">
        <f>D25-$B$12</f>
        <v>4793.3856240000005</v>
      </c>
      <c r="G25" s="9">
        <f>IF(D25&gt;0,$B$14/D25,"")</f>
        <v>7.4768338609708032</v>
      </c>
      <c r="H25" s="5">
        <f>IF(D25&gt;0,D25*12/$B$14,"")</f>
        <v>1.6049574222372651</v>
      </c>
    </row>
    <row r="26" spans="1:8" ht="26.4" customHeight="1">
      <c r="A26" s="2" t="s">
        <v>70</v>
      </c>
      <c r="B26" s="2" t="s">
        <v>71</v>
      </c>
      <c r="C26" s="5">
        <f>$B$4*63%</f>
        <v>0.49770000000000003</v>
      </c>
      <c r="D26" s="6">
        <f>$B$8*C26</f>
        <v>11854.616760000001</v>
      </c>
      <c r="E26" s="8">
        <f>D26/$B$12</f>
        <v>3.0396453230769231</v>
      </c>
      <c r="F26" s="6">
        <f>D26-$B$12</f>
        <v>7954.6167600000008</v>
      </c>
      <c r="G26" s="9">
        <f>IF(D26&gt;0,$B$14/D26,"")</f>
        <v>5.483011498045256</v>
      </c>
      <c r="H26" s="5">
        <f>IF(D26&gt;0,D26*12/$B$14,"")</f>
        <v>2.1885783030508161</v>
      </c>
    </row>
    <row r="27" spans="1:8">
      <c r="A27" s="17"/>
      <c r="B27" s="17"/>
      <c r="C27" s="17"/>
      <c r="D27" s="17"/>
      <c r="E27" s="17"/>
      <c r="F27" s="17"/>
      <c r="G27" s="17"/>
      <c r="H27" s="17"/>
    </row>
    <row r="28" spans="1:8">
      <c r="A28" s="31" t="s">
        <v>72</v>
      </c>
      <c r="B28" s="31"/>
      <c r="C28" s="31"/>
      <c r="D28" s="31"/>
      <c r="E28" s="31"/>
      <c r="F28" s="31"/>
      <c r="G28" s="31"/>
      <c r="H28" s="31"/>
    </row>
    <row r="29" spans="1:8" s="41" customFormat="1">
      <c r="A29" s="42" t="s">
        <v>73</v>
      </c>
      <c r="B29" s="43" t="s">
        <v>74</v>
      </c>
      <c r="C29" s="43"/>
      <c r="D29" s="43"/>
      <c r="E29" s="43"/>
      <c r="F29" s="43"/>
      <c r="G29" s="43"/>
      <c r="H29" s="43"/>
    </row>
    <row r="30" spans="1:8" ht="29.4" customHeight="1">
      <c r="A30" s="2" t="s">
        <v>75</v>
      </c>
      <c r="B30" s="32" t="s">
        <v>76</v>
      </c>
      <c r="C30" s="33"/>
      <c r="D30" s="33"/>
      <c r="E30" s="33"/>
      <c r="F30" s="33"/>
      <c r="G30" s="33"/>
      <c r="H30" s="33"/>
    </row>
    <row r="31" spans="1:8" ht="32" customHeight="1">
      <c r="A31" s="2" t="s">
        <v>77</v>
      </c>
      <c r="B31" s="32" t="s">
        <v>78</v>
      </c>
      <c r="C31" s="33"/>
      <c r="D31" s="33"/>
      <c r="E31" s="33"/>
      <c r="F31" s="33"/>
      <c r="G31" s="33"/>
      <c r="H31" s="33"/>
    </row>
    <row r="32" spans="1:8" ht="24" customHeight="1">
      <c r="A32" s="2" t="s">
        <v>79</v>
      </c>
      <c r="B32" s="32" t="s">
        <v>80</v>
      </c>
      <c r="C32" s="33"/>
      <c r="D32" s="33"/>
      <c r="E32" s="33"/>
      <c r="F32" s="33"/>
      <c r="G32" s="33"/>
      <c r="H32" s="33"/>
    </row>
    <row r="33" spans="1:8" ht="29.4" customHeight="1">
      <c r="A33" s="2" t="s">
        <v>81</v>
      </c>
      <c r="B33" s="32" t="s">
        <v>82</v>
      </c>
      <c r="C33" s="33"/>
      <c r="D33" s="33"/>
      <c r="E33" s="33"/>
      <c r="F33" s="33"/>
      <c r="G33" s="33"/>
      <c r="H33" s="33"/>
    </row>
    <row r="34" spans="1:8" ht="24" customHeight="1">
      <c r="A34" s="2" t="s">
        <v>83</v>
      </c>
      <c r="B34" s="32" t="s">
        <v>84</v>
      </c>
      <c r="C34" s="33"/>
      <c r="D34" s="33"/>
      <c r="E34" s="33"/>
      <c r="F34" s="33"/>
      <c r="G34" s="33"/>
      <c r="H34" s="33"/>
    </row>
  </sheetData>
  <mergeCells count="9">
    <mergeCell ref="B31:H31"/>
    <mergeCell ref="B32:H32"/>
    <mergeCell ref="B33:H33"/>
    <mergeCell ref="B34:H34"/>
    <mergeCell ref="A1:E1"/>
    <mergeCell ref="A22:H22"/>
    <mergeCell ref="A28:H28"/>
    <mergeCell ref="B29:H29"/>
    <mergeCell ref="B30:H30"/>
  </mergeCells>
  <phoneticPr fontId="7" type="noConversion"/>
  <conditionalFormatting sqref="E24:E26">
    <cfRule type="cellIs" dxfId="1" priority="2" operator="lessThan">
      <formula>1</formula>
    </cfRule>
  </conditionalFormatting>
  <conditionalFormatting sqref="F24:F2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tabSelected="1" topLeftCell="C1" workbookViewId="0">
      <selection activeCell="C3" sqref="C3:P3"/>
    </sheetView>
  </sheetViews>
  <sheetFormatPr defaultRowHeight="14"/>
  <cols>
    <col min="1" max="1" width="32" customWidth="1"/>
    <col min="2" max="2" width="16" customWidth="1"/>
    <col min="3" max="3" width="18" customWidth="1"/>
    <col min="4" max="4" width="11" customWidth="1"/>
    <col min="5" max="5" width="23" customWidth="1"/>
    <col min="6" max="6" width="16" customWidth="1"/>
    <col min="7" max="7" width="17" customWidth="1"/>
    <col min="8" max="8" width="20" customWidth="1"/>
    <col min="9" max="9" width="13" customWidth="1"/>
    <col min="10" max="10" width="20" customWidth="1"/>
    <col min="11" max="11" width="17" customWidth="1"/>
    <col min="12" max="12" width="24" customWidth="1"/>
    <col min="13" max="13" width="22" customWidth="1"/>
    <col min="14" max="15" width="15" customWidth="1"/>
    <col min="16" max="16" width="10" customWidth="1"/>
  </cols>
  <sheetData>
    <row r="1" spans="1:16">
      <c r="A1" s="34" t="s">
        <v>85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s="41" customFormat="1">
      <c r="A2" s="42" t="s">
        <v>86</v>
      </c>
      <c r="B2" s="42" t="s">
        <v>87</v>
      </c>
      <c r="C2" s="43" t="s">
        <v>88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ht="20" customHeight="1">
      <c r="A3" s="2" t="s">
        <v>89</v>
      </c>
      <c r="B3" s="5">
        <f>G9</f>
        <v>0.93847597655348547</v>
      </c>
      <c r="C3" s="32" t="s">
        <v>90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ht="28">
      <c r="A4" s="2" t="s">
        <v>91</v>
      </c>
      <c r="B4" s="2" t="str">
        <f>TEXT(MIN(I9:I11),"0.0%")&amp;" to "&amp;TEXT(MAX(I9:I11),"0.0%")</f>
        <v>85.6% to 95.1%</v>
      </c>
      <c r="C4" s="32" t="s">
        <v>92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28">
      <c r="A5" s="2" t="s">
        <v>93</v>
      </c>
      <c r="B5" s="2" t="str">
        <f>TEXT(MIN(J9:J15),"0.0%")&amp;" to "&amp;TEXT(MAX(J9:J15),"0.0%")</f>
        <v>16.4% to 24.8%</v>
      </c>
      <c r="C5" s="32" t="s">
        <v>94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2" t="s">
        <v>95</v>
      </c>
      <c r="B6" s="2" t="str">
        <f>TEXT(MIN(K9:K15),"0.00x")&amp;" to "&amp;TEXT(MAX(K9:K15),"0.00x")</f>
        <v>1.47x to 2.23x</v>
      </c>
      <c r="C6" s="32" t="s">
        <v>96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ht="47.5" customHeight="1">
      <c r="A8" s="1" t="s">
        <v>97</v>
      </c>
      <c r="B8" s="1" t="s">
        <v>98</v>
      </c>
      <c r="C8" s="1" t="s">
        <v>99</v>
      </c>
      <c r="D8" s="1" t="s">
        <v>100</v>
      </c>
      <c r="E8" s="1" t="s">
        <v>101</v>
      </c>
      <c r="F8" s="1" t="s">
        <v>102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107</v>
      </c>
      <c r="L8" s="1" t="s">
        <v>108</v>
      </c>
      <c r="M8" s="1" t="s">
        <v>64</v>
      </c>
      <c r="N8" s="1" t="s">
        <v>109</v>
      </c>
      <c r="O8" s="1" t="s">
        <v>110</v>
      </c>
      <c r="P8" s="1" t="s">
        <v>5</v>
      </c>
    </row>
    <row r="9" spans="1:16">
      <c r="A9" s="2" t="s">
        <v>111</v>
      </c>
      <c r="B9" s="7">
        <v>3999</v>
      </c>
      <c r="C9" s="7">
        <v>3900</v>
      </c>
      <c r="D9" s="10">
        <v>30</v>
      </c>
      <c r="E9" s="6">
        <f t="shared" ref="E9:E15" si="0">B9+C9*D9</f>
        <v>120999</v>
      </c>
      <c r="F9" s="6">
        <v>64999</v>
      </c>
      <c r="G9" s="5">
        <f t="shared" ref="G9:G15" si="1">IF(F9="","",1-B9/F9)</f>
        <v>0.93847597655348547</v>
      </c>
      <c r="H9" s="6">
        <f t="shared" ref="H9:H15" si="2">IF(F9="","",E9-F9)</f>
        <v>56000</v>
      </c>
      <c r="I9" s="5">
        <f t="shared" ref="I9:I15" si="3">IF(F9="","",H9/F9)</f>
        <v>0.86155171618024895</v>
      </c>
      <c r="J9" s="11">
        <f>C9/'Farmer ROI'!$B$8</f>
        <v>0.16373620837321781</v>
      </c>
      <c r="K9" s="12">
        <f>'Farmer ROI'!$B$9/C9</f>
        <v>2.2290732369230772</v>
      </c>
      <c r="L9" s="13">
        <f>'Farmer ROI'!$B$9-C9</f>
        <v>4793.3856240000005</v>
      </c>
      <c r="M9" s="20">
        <f>IF(F9="","",F9/'Farmer ROI'!$B$9)</f>
        <v>7.4768338609708032</v>
      </c>
      <c r="N9" s="11">
        <f>IF(F9="","",'Farmer ROI'!$B$9*12/F9)</f>
        <v>1.6049574222372651</v>
      </c>
      <c r="O9" s="11">
        <f t="shared" ref="O9:O15" si="4">IF(E9=0,"",B9/E9)</f>
        <v>3.3049859916197653E-2</v>
      </c>
      <c r="P9" s="2" t="s">
        <v>36</v>
      </c>
    </row>
    <row r="10" spans="1:16">
      <c r="A10" s="2" t="s">
        <v>112</v>
      </c>
      <c r="B10" s="7">
        <v>5199</v>
      </c>
      <c r="C10" s="7">
        <v>4900</v>
      </c>
      <c r="D10" s="10">
        <v>30</v>
      </c>
      <c r="E10" s="6">
        <f t="shared" si="0"/>
        <v>152199</v>
      </c>
      <c r="F10" s="6">
        <v>81999</v>
      </c>
      <c r="G10" s="5">
        <f t="shared" si="1"/>
        <v>0.93659678776570443</v>
      </c>
      <c r="H10" s="6">
        <f t="shared" si="2"/>
        <v>70200</v>
      </c>
      <c r="I10" s="5">
        <f t="shared" si="3"/>
        <v>0.8561080013170892</v>
      </c>
      <c r="J10" s="11">
        <f>C10/'Farmer ROI'!$B$8</f>
        <v>0.20571985154583775</v>
      </c>
      <c r="K10" s="12">
        <f>'Farmer ROI'!$B$9/C10</f>
        <v>1.7741603314285714</v>
      </c>
      <c r="L10" s="13">
        <f>'Farmer ROI'!$B$9-C10</f>
        <v>3793.3856240000005</v>
      </c>
      <c r="M10" s="20">
        <f>IF(F10="","",F10/'Farmer ROI'!$B$9)</f>
        <v>9.4323435709125505</v>
      </c>
      <c r="N10" s="11">
        <f>IF(F10="","",'Farmer ROI'!$B$9*12/F10)</f>
        <v>1.2722182891010865</v>
      </c>
      <c r="O10" s="11">
        <f t="shared" si="4"/>
        <v>3.4159225750497707E-2</v>
      </c>
      <c r="P10" s="2" t="s">
        <v>36</v>
      </c>
    </row>
    <row r="11" spans="1:16">
      <c r="A11" s="2" t="s">
        <v>113</v>
      </c>
      <c r="B11" s="7">
        <v>5199</v>
      </c>
      <c r="C11" s="7">
        <v>4900</v>
      </c>
      <c r="D11" s="10">
        <v>30</v>
      </c>
      <c r="E11" s="6">
        <f t="shared" si="0"/>
        <v>152199</v>
      </c>
      <c r="F11" s="6">
        <v>77999</v>
      </c>
      <c r="G11" s="5">
        <f t="shared" si="1"/>
        <v>0.93334529929870902</v>
      </c>
      <c r="H11" s="6">
        <f t="shared" si="2"/>
        <v>74200</v>
      </c>
      <c r="I11" s="5">
        <f t="shared" si="3"/>
        <v>0.95129424736214563</v>
      </c>
      <c r="J11" s="11">
        <f>C11/'Farmer ROI'!$B$8</f>
        <v>0.20571985154583775</v>
      </c>
      <c r="K11" s="12">
        <f>'Farmer ROI'!$B$9/C11</f>
        <v>1.7741603314285714</v>
      </c>
      <c r="L11" s="13">
        <f>'Farmer ROI'!$B$9-C11</f>
        <v>3793.3856240000005</v>
      </c>
      <c r="M11" s="20">
        <f>IF(F11="","",F11/'Farmer ROI'!$B$9)</f>
        <v>8.9722236391615517</v>
      </c>
      <c r="N11" s="11">
        <f>IF(F11="","",'Farmer ROI'!$B$9*12/F11)</f>
        <v>1.3374610890908858</v>
      </c>
      <c r="O11" s="11">
        <f t="shared" si="4"/>
        <v>3.4159225750497707E-2</v>
      </c>
      <c r="P11" s="2" t="s">
        <v>36</v>
      </c>
    </row>
    <row r="12" spans="1:16">
      <c r="A12" s="2" t="s">
        <v>114</v>
      </c>
      <c r="B12" s="7">
        <v>4899</v>
      </c>
      <c r="C12" s="7">
        <v>4900</v>
      </c>
      <c r="D12" s="10">
        <v>24</v>
      </c>
      <c r="E12" s="6">
        <f t="shared" si="0"/>
        <v>122499</v>
      </c>
      <c r="F12" s="6"/>
      <c r="G12" s="5" t="str">
        <f t="shared" si="1"/>
        <v/>
      </c>
      <c r="H12" s="6" t="str">
        <f t="shared" si="2"/>
        <v/>
      </c>
      <c r="I12" s="5" t="str">
        <f t="shared" si="3"/>
        <v/>
      </c>
      <c r="J12" s="11">
        <f>C12/'Farmer ROI'!$B$8</f>
        <v>0.20571985154583775</v>
      </c>
      <c r="K12" s="12">
        <f>'Farmer ROI'!$B$9/C12</f>
        <v>1.7741603314285714</v>
      </c>
      <c r="L12" s="13">
        <f>'Farmer ROI'!$B$9-C12</f>
        <v>3793.3856240000005</v>
      </c>
      <c r="M12" s="20" t="str">
        <f>IF(F12="","",F12/'Farmer ROI'!$B$9)</f>
        <v/>
      </c>
      <c r="N12" s="11" t="str">
        <f>IF(F12="","",'Farmer ROI'!$B$9*12/F12)</f>
        <v/>
      </c>
      <c r="O12" s="11">
        <f t="shared" si="4"/>
        <v>3.9992163201332254E-2</v>
      </c>
      <c r="P12" s="2" t="s">
        <v>36</v>
      </c>
    </row>
    <row r="13" spans="1:16">
      <c r="A13" s="2" t="s">
        <v>115</v>
      </c>
      <c r="B13" s="7">
        <v>8099</v>
      </c>
      <c r="C13" s="7">
        <v>5900</v>
      </c>
      <c r="D13" s="10">
        <v>36</v>
      </c>
      <c r="E13" s="6">
        <f t="shared" si="0"/>
        <v>220499</v>
      </c>
      <c r="F13" s="6"/>
      <c r="G13" s="5" t="str">
        <f t="shared" si="1"/>
        <v/>
      </c>
      <c r="H13" s="6" t="str">
        <f t="shared" si="2"/>
        <v/>
      </c>
      <c r="I13" s="5" t="str">
        <f t="shared" si="3"/>
        <v/>
      </c>
      <c r="J13" s="11">
        <f>C13/'Farmer ROI'!$B$8</f>
        <v>0.24770349471845771</v>
      </c>
      <c r="K13" s="12">
        <f>'Farmer ROI'!$B$9/C13</f>
        <v>1.4734551905084747</v>
      </c>
      <c r="L13" s="13">
        <f>'Farmer ROI'!$B$9-C13</f>
        <v>2793.3856240000005</v>
      </c>
      <c r="M13" s="20" t="str">
        <f>IF(F13="","",F13/'Farmer ROI'!$B$9)</f>
        <v/>
      </c>
      <c r="N13" s="11" t="str">
        <f>IF(F13="","",'Farmer ROI'!$B$9*12/F13)</f>
        <v/>
      </c>
      <c r="O13" s="11">
        <f t="shared" si="4"/>
        <v>3.6730325307597768E-2</v>
      </c>
      <c r="P13" s="2" t="s">
        <v>36</v>
      </c>
    </row>
    <row r="14" spans="1:16">
      <c r="A14" s="2" t="s">
        <v>116</v>
      </c>
      <c r="B14" s="7">
        <v>8099</v>
      </c>
      <c r="C14" s="7">
        <v>5900</v>
      </c>
      <c r="D14" s="10">
        <v>36</v>
      </c>
      <c r="E14" s="6">
        <f t="shared" si="0"/>
        <v>220499</v>
      </c>
      <c r="F14" s="6"/>
      <c r="G14" s="5" t="str">
        <f t="shared" si="1"/>
        <v/>
      </c>
      <c r="H14" s="6" t="str">
        <f t="shared" si="2"/>
        <v/>
      </c>
      <c r="I14" s="5" t="str">
        <f t="shared" si="3"/>
        <v/>
      </c>
      <c r="J14" s="11">
        <f>C14/'Farmer ROI'!$B$8</f>
        <v>0.24770349471845771</v>
      </c>
      <c r="K14" s="12">
        <f>'Farmer ROI'!$B$9/C14</f>
        <v>1.4734551905084747</v>
      </c>
      <c r="L14" s="13">
        <f>'Farmer ROI'!$B$9-C14</f>
        <v>2793.3856240000005</v>
      </c>
      <c r="M14" s="20" t="str">
        <f>IF(F14="","",F14/'Farmer ROI'!$B$9)</f>
        <v/>
      </c>
      <c r="N14" s="11" t="str">
        <f>IF(F14="","",'Farmer ROI'!$B$9*12/F14)</f>
        <v/>
      </c>
      <c r="O14" s="11">
        <f t="shared" si="4"/>
        <v>3.6730325307597768E-2</v>
      </c>
      <c r="P14" s="2" t="s">
        <v>36</v>
      </c>
    </row>
    <row r="15" spans="1:16">
      <c r="A15" s="2" t="s">
        <v>117</v>
      </c>
      <c r="B15" s="7">
        <v>5199</v>
      </c>
      <c r="C15" s="7">
        <v>4900</v>
      </c>
      <c r="D15" s="10">
        <v>30</v>
      </c>
      <c r="E15" s="6">
        <f t="shared" si="0"/>
        <v>152199</v>
      </c>
      <c r="F15" s="6"/>
      <c r="G15" s="5" t="str">
        <f t="shared" si="1"/>
        <v/>
      </c>
      <c r="H15" s="6" t="str">
        <f t="shared" si="2"/>
        <v/>
      </c>
      <c r="I15" s="5" t="str">
        <f t="shared" si="3"/>
        <v/>
      </c>
      <c r="J15" s="11">
        <f>C15/'Farmer ROI'!$B$8</f>
        <v>0.20571985154583775</v>
      </c>
      <c r="K15" s="12">
        <f>'Farmer ROI'!$B$9/C15</f>
        <v>1.7741603314285714</v>
      </c>
      <c r="L15" s="13">
        <f>'Farmer ROI'!$B$9-C15</f>
        <v>3793.3856240000005</v>
      </c>
      <c r="M15" s="20" t="str">
        <f>IF(F15="","",F15/'Farmer ROI'!$B$9)</f>
        <v/>
      </c>
      <c r="N15" s="11" t="str">
        <f>IF(F15="","",'Farmer ROI'!$B$9*12/F15)</f>
        <v/>
      </c>
      <c r="O15" s="11">
        <f t="shared" si="4"/>
        <v>3.4159225750497707E-2</v>
      </c>
      <c r="P15" s="2" t="s">
        <v>36</v>
      </c>
    </row>
    <row r="16" spans="1:16" ht="1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spans="1:16">
      <c r="A17" s="35" t="s">
        <v>88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 s="41" customFormat="1">
      <c r="A18" s="42" t="s">
        <v>118</v>
      </c>
      <c r="B18" s="43" t="s">
        <v>119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spans="1:16">
      <c r="A19" s="2" t="s">
        <v>120</v>
      </c>
      <c r="B19" s="32" t="s">
        <v>121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spans="1:16">
      <c r="A20" s="2" t="s">
        <v>122</v>
      </c>
      <c r="B20" s="32" t="s">
        <v>123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2" t="s">
        <v>124</v>
      </c>
      <c r="B21" s="32" t="s">
        <v>125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2" t="s">
        <v>126</v>
      </c>
      <c r="B22" s="32" t="s">
        <v>127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4" spans="1:16">
      <c r="A24" s="37" t="s">
        <v>128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spans="1:16">
      <c r="A25" s="38" t="s">
        <v>129</v>
      </c>
      <c r="B25" s="38" t="s">
        <v>130</v>
      </c>
      <c r="C25" s="38"/>
      <c r="D25" s="38"/>
    </row>
    <row r="26" spans="1:16" ht="28">
      <c r="A26" s="39"/>
      <c r="B26" s="27" t="s">
        <v>131</v>
      </c>
      <c r="C26" s="27" t="s">
        <v>132</v>
      </c>
      <c r="D26" s="27" t="s">
        <v>133</v>
      </c>
      <c r="E26" s="24"/>
      <c r="F26" s="23"/>
      <c r="G26" s="24"/>
    </row>
    <row r="27" spans="1:16">
      <c r="A27" s="25">
        <v>0.7</v>
      </c>
      <c r="B27" s="26">
        <f>$E$9*$A27/$F$9</f>
        <v>1.3030862013261741</v>
      </c>
      <c r="C27" s="26">
        <f>$E$10*$A27/$F$10</f>
        <v>1.2992756009219624</v>
      </c>
      <c r="D27" s="26">
        <f>$E$11*$A27/$F$11</f>
        <v>1.3659059731535019</v>
      </c>
      <c r="E27" s="24"/>
      <c r="F27" s="23"/>
      <c r="G27" s="24"/>
    </row>
    <row r="28" spans="1:16">
      <c r="A28" s="25">
        <v>0.8</v>
      </c>
      <c r="B28" s="26">
        <f>$E$9*$A28/$F$9</f>
        <v>1.4892413729441993</v>
      </c>
      <c r="C28" s="26">
        <f>$E$10*$A28/$F$10</f>
        <v>1.4848864010536715</v>
      </c>
      <c r="D28" s="26">
        <f>$E$11*$A28/$F$11</f>
        <v>1.5610353978897167</v>
      </c>
      <c r="E28" s="24"/>
      <c r="F28" s="23"/>
      <c r="G28" s="24"/>
    </row>
    <row r="29" spans="1:16">
      <c r="A29" s="25">
        <v>0.9</v>
      </c>
      <c r="B29" s="26">
        <f>$E$9*$A29/$F$9</f>
        <v>1.6753965445622241</v>
      </c>
      <c r="C29" s="26">
        <f>$E$10*$A29/$F$10</f>
        <v>1.6704972011853805</v>
      </c>
      <c r="D29" s="26">
        <f>$E$11*$A29/$F$11</f>
        <v>1.7561648226259312</v>
      </c>
      <c r="E29" s="24"/>
      <c r="F29" s="23"/>
      <c r="G29" s="24"/>
    </row>
    <row r="30" spans="1:16" ht="28" customHeight="1">
      <c r="A30" s="28">
        <v>1</v>
      </c>
      <c r="B30" s="29">
        <f>$E$9*$A30/$F$9</f>
        <v>1.8615517161802488</v>
      </c>
      <c r="C30" s="29">
        <f>$E$10*$A30/$F$10</f>
        <v>1.8561080013170892</v>
      </c>
      <c r="D30" s="29">
        <f>$E$11*$A30/$F$11</f>
        <v>1.9512942473621457</v>
      </c>
      <c r="E30" s="18"/>
      <c r="F30" s="18"/>
      <c r="G30" s="18"/>
    </row>
    <row r="31" spans="1:16" ht="43.5" customHeight="1">
      <c r="A31" s="21" t="s">
        <v>88</v>
      </c>
      <c r="B31" s="36" t="s">
        <v>134</v>
      </c>
      <c r="C31" s="36"/>
      <c r="D31" s="36"/>
      <c r="E31" s="36"/>
      <c r="F31" s="36"/>
      <c r="G31" s="18"/>
    </row>
    <row r="32" spans="1:16" ht="42.5" customHeight="1">
      <c r="A32" s="21" t="s">
        <v>135</v>
      </c>
      <c r="B32" s="36" t="s">
        <v>136</v>
      </c>
      <c r="C32" s="36"/>
      <c r="D32" s="36"/>
      <c r="E32" s="36"/>
      <c r="F32" s="36"/>
      <c r="G32" s="18" t="s">
        <v>137</v>
      </c>
    </row>
  </sheetData>
  <mergeCells count="17">
    <mergeCell ref="A24:P24"/>
    <mergeCell ref="A25:A26"/>
    <mergeCell ref="B25:D25"/>
    <mergeCell ref="B31:F31"/>
    <mergeCell ref="B32:F32"/>
    <mergeCell ref="B18:P18"/>
    <mergeCell ref="B19:P19"/>
    <mergeCell ref="B20:P20"/>
    <mergeCell ref="B21:P21"/>
    <mergeCell ref="B22:P22"/>
    <mergeCell ref="A1:P1"/>
    <mergeCell ref="A17:P17"/>
    <mergeCell ref="C2:P2"/>
    <mergeCell ref="C3:P3"/>
    <mergeCell ref="C4:P4"/>
    <mergeCell ref="C5:P5"/>
    <mergeCell ref="C6:P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11" sqref="C11"/>
    </sheetView>
  </sheetViews>
  <sheetFormatPr defaultRowHeight="14"/>
  <cols>
    <col min="1" max="1" width="8" customWidth="1"/>
    <col min="2" max="2" width="38" customWidth="1"/>
    <col min="3" max="3" width="26" customWidth="1"/>
    <col min="4" max="4" width="50" customWidth="1"/>
    <col min="5" max="5" width="58" customWidth="1"/>
    <col min="6" max="6" width="65" customWidth="1"/>
  </cols>
  <sheetData>
    <row r="1" spans="1:6">
      <c r="A1" s="34" t="s">
        <v>138</v>
      </c>
      <c r="B1" s="34"/>
      <c r="C1" s="34"/>
      <c r="D1" s="34"/>
      <c r="E1" s="34"/>
      <c r="F1" s="34"/>
    </row>
    <row r="2" spans="1:6">
      <c r="A2" s="1" t="s">
        <v>139</v>
      </c>
      <c r="B2" s="1" t="s">
        <v>140</v>
      </c>
      <c r="C2" s="1" t="s">
        <v>141</v>
      </c>
      <c r="D2" s="1" t="s">
        <v>142</v>
      </c>
      <c r="E2" s="1" t="s">
        <v>143</v>
      </c>
      <c r="F2" s="1" t="s">
        <v>144</v>
      </c>
    </row>
    <row r="3" spans="1:6" ht="28">
      <c r="A3" s="14" t="s">
        <v>36</v>
      </c>
      <c r="B3" s="2" t="s">
        <v>145</v>
      </c>
      <c r="C3" s="2" t="s">
        <v>146</v>
      </c>
      <c r="D3" s="2" t="s">
        <v>147</v>
      </c>
      <c r="E3" s="2" t="s">
        <v>148</v>
      </c>
      <c r="F3" s="15" t="s">
        <v>149</v>
      </c>
    </row>
    <row r="4" spans="1:6" ht="56">
      <c r="A4" s="14" t="s">
        <v>9</v>
      </c>
      <c r="B4" s="2" t="s">
        <v>150</v>
      </c>
      <c r="C4" s="2" t="s">
        <v>151</v>
      </c>
      <c r="D4" s="2" t="s">
        <v>152</v>
      </c>
      <c r="E4" s="2" t="s">
        <v>153</v>
      </c>
      <c r="F4" s="15" t="s">
        <v>154</v>
      </c>
    </row>
    <row r="5" spans="1:6" ht="28">
      <c r="A5" s="14" t="s">
        <v>21</v>
      </c>
      <c r="B5" s="2" t="s">
        <v>155</v>
      </c>
      <c r="C5" s="2" t="s">
        <v>156</v>
      </c>
      <c r="D5" s="2" t="s">
        <v>157</v>
      </c>
      <c r="E5" s="2" t="s">
        <v>158</v>
      </c>
      <c r="F5" s="15" t="s">
        <v>159</v>
      </c>
    </row>
    <row r="6" spans="1:6" ht="28">
      <c r="A6" s="14" t="s">
        <v>33</v>
      </c>
      <c r="B6" s="2" t="s">
        <v>160</v>
      </c>
      <c r="C6" s="2" t="s">
        <v>161</v>
      </c>
      <c r="D6" s="2" t="s">
        <v>162</v>
      </c>
      <c r="E6" s="2" t="s">
        <v>163</v>
      </c>
      <c r="F6" s="15" t="s">
        <v>164</v>
      </c>
    </row>
    <row r="7" spans="1:6" ht="56">
      <c r="A7" s="14" t="s">
        <v>165</v>
      </c>
      <c r="B7" s="2" t="s">
        <v>166</v>
      </c>
      <c r="C7" s="2" t="s">
        <v>167</v>
      </c>
      <c r="D7" s="2" t="s">
        <v>168</v>
      </c>
      <c r="E7" s="2" t="s">
        <v>169</v>
      </c>
      <c r="F7" s="15" t="s">
        <v>170</v>
      </c>
    </row>
    <row r="8" spans="1:6" ht="42">
      <c r="A8" s="14" t="s">
        <v>171</v>
      </c>
      <c r="B8" s="2" t="s">
        <v>172</v>
      </c>
      <c r="C8" s="2" t="s">
        <v>173</v>
      </c>
      <c r="D8" s="2" t="s">
        <v>174</v>
      </c>
      <c r="E8" s="2" t="s">
        <v>175</v>
      </c>
      <c r="F8" s="15" t="s">
        <v>176</v>
      </c>
    </row>
    <row r="9" spans="1:6" ht="17.649999999999999" customHeight="1">
      <c r="A9" s="14" t="s">
        <v>177</v>
      </c>
      <c r="B9" s="2" t="s">
        <v>178</v>
      </c>
      <c r="C9" s="2" t="s">
        <v>179</v>
      </c>
      <c r="D9" s="2" t="s">
        <v>180</v>
      </c>
      <c r="E9" s="2" t="s">
        <v>181</v>
      </c>
      <c r="F9" s="15" t="s">
        <v>182</v>
      </c>
    </row>
    <row r="10" spans="1:6" ht="42">
      <c r="A10" s="18" t="s">
        <v>137</v>
      </c>
      <c r="B10" s="18" t="s">
        <v>183</v>
      </c>
      <c r="C10" s="18" t="s">
        <v>184</v>
      </c>
      <c r="D10" s="18" t="s">
        <v>185</v>
      </c>
      <c r="E10" s="18" t="s">
        <v>186</v>
      </c>
      <c r="F10" s="18" t="s">
        <v>187</v>
      </c>
    </row>
    <row r="11" spans="1:6" ht="42">
      <c r="A11" s="18" t="s">
        <v>188</v>
      </c>
      <c r="B11" s="18" t="s">
        <v>189</v>
      </c>
      <c r="C11" s="18" t="s">
        <v>190</v>
      </c>
      <c r="D11" s="18" t="s">
        <v>191</v>
      </c>
      <c r="E11" s="18" t="s">
        <v>192</v>
      </c>
      <c r="F11" s="18" t="s">
        <v>193</v>
      </c>
    </row>
  </sheetData>
  <mergeCells count="1">
    <mergeCell ref="A1:F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Farmer ROI</vt:lpstr>
      <vt:lpstr>PAYGrow Economics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Jacqueline Wu</cp:lastModifiedBy>
  <dcterms:modified xsi:type="dcterms:W3CDTF">2026-09-28T02:36:47Z</dcterms:modified>
</cp:coreProperties>
</file>